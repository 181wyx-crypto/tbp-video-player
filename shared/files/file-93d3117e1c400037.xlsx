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650" activeTab="1"/>
  </bookViews>
  <sheets>
    <sheet name="光电直读分析标准作业" sheetId="12" r:id="rId1"/>
    <sheet name="光电直读分析标准作业 (2)" sheetId="13" r:id="rId2"/>
  </sheets>
  <definedNames>
    <definedName name="_xlnm.Print_Area" localSheetId="0">光电直读分析标准作业!$B$1:$O$21</definedName>
    <definedName name="_xlnm.Print_Area" localSheetId="1">'光电直读分析标准作业 (2)'!$B$1:$O$21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510460FF6461459BA1B50DFEA60C4338"/>
        <xdr:cNvPicPr/>
      </xdr:nvPicPr>
      <xdr:blipFill>
        <a:blip r:embed="rId1"/>
        <a:stretch>
          <a:fillRect/>
        </a:stretch>
      </xdr:blipFill>
      <xdr:spPr>
        <a:xfrm>
          <a:off x="509905" y="128905"/>
          <a:ext cx="1440180" cy="144018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<sst xmlns="http://schemas.openxmlformats.org/spreadsheetml/2006/main" count="180" uniqueCount="159">
  <si>
    <t>光电直读分析标准作业卡</t>
  </si>
  <si>
    <t>编制人：</t>
  </si>
  <si>
    <t>审核人：</t>
  </si>
  <si>
    <t>批准人：</t>
  </si>
  <si>
    <t>标准作业卡编号：</t>
  </si>
  <si>
    <t>ZJ-BZ-07-V2</t>
  </si>
  <si>
    <t>更新时间</t>
  </si>
  <si>
    <t>作业名称</t>
  </si>
  <si>
    <t>OES分析作业</t>
  </si>
  <si>
    <t>作业岗位</t>
  </si>
  <si>
    <t>OES分析岗</t>
  </si>
  <si>
    <t>作业范围</t>
  </si>
  <si>
    <t>从分析样品到报出数据</t>
  </si>
  <si>
    <t>作业阶段</t>
  </si>
  <si>
    <t>作业流程</t>
  </si>
  <si>
    <t>作业标准</t>
  </si>
  <si>
    <t>工具</t>
  </si>
  <si>
    <t>关键点</t>
  </si>
  <si>
    <t>关键理由</t>
  </si>
  <si>
    <t>标准时间</t>
  </si>
  <si>
    <t>作业前人员准备和确认</t>
  </si>
  <si>
    <t>1.作业前</t>
  </si>
  <si>
    <t>检查设备参数</t>
  </si>
  <si>
    <t>设备无报警</t>
  </si>
  <si>
    <t>设备参数异常，设备无法安全运行</t>
  </si>
  <si>
    <t>20秒</t>
  </si>
  <si>
    <t>1人</t>
  </si>
  <si>
    <t>检查氩气</t>
  </si>
  <si>
    <t>氩气压力正常</t>
  </si>
  <si>
    <t>压力表</t>
  </si>
  <si>
    <t>压力异常，无法进行激发或确保数据准确性</t>
  </si>
  <si>
    <t>5秒</t>
  </si>
  <si>
    <t>作业前工器具、防护用具、备件、物料准备和确认</t>
  </si>
  <si>
    <t>检查电极</t>
  </si>
  <si>
    <t>无积碳残留，电极尖完整保留</t>
  </si>
  <si>
    <t>电极刷</t>
  </si>
  <si>
    <t>电极出现问题，导致数据异常</t>
  </si>
  <si>
    <t>极距规、电极刷、擦碳布、吸耳球、电极盖</t>
  </si>
  <si>
    <t>检查电极极距</t>
  </si>
  <si>
    <t>极距规标识正常</t>
  </si>
  <si>
    <t>极距规</t>
  </si>
  <si>
    <t>电极与激发点距离保持3毫米</t>
  </si>
  <si>
    <t>10秒</t>
  </si>
  <si>
    <t>作业前环境确认</t>
  </si>
  <si>
    <t>2.作业中</t>
  </si>
  <si>
    <t>激发废样</t>
  </si>
  <si>
    <t>激发2-3次废样</t>
  </si>
  <si>
    <t>电极刷、擦碳布</t>
  </si>
  <si>
    <t>气路管道排气</t>
  </si>
  <si>
    <t>80秒</t>
  </si>
  <si>
    <t>温度、湿度</t>
  </si>
  <si>
    <t>激发跟踪样</t>
  </si>
  <si>
    <t>激发2-3个点，不可激发单点数据</t>
  </si>
  <si>
    <t>安全要点</t>
  </si>
  <si>
    <t>对比跟踪样数据</t>
  </si>
  <si>
    <t>数据误差在0.1%内</t>
  </si>
  <si>
    <t>30秒</t>
  </si>
  <si>
    <t>检查设备参数及氩气压力，确保设备安全运行</t>
  </si>
  <si>
    <t>激发样品</t>
  </si>
  <si>
    <t>每激发一次，清理一次电极</t>
  </si>
  <si>
    <t>易造成数据极差过大</t>
  </si>
  <si>
    <t>单点激发50秒</t>
  </si>
  <si>
    <t>要点</t>
  </si>
  <si>
    <t>激发完成</t>
  </si>
  <si>
    <t>清理电极，盖上激发盖</t>
  </si>
  <si>
    <t>电极盖</t>
  </si>
  <si>
    <t>数据超限时，及时进行有效问题记录，便于及时进行问题排查</t>
  </si>
  <si>
    <t>处理</t>
  </si>
  <si>
    <t>检查激发后的样品</t>
  </si>
  <si>
    <t>黑色晕圈完整，分析面无水渍、激发点无孔洞、裂纹</t>
  </si>
  <si>
    <t>有可能造成分析数据不准确</t>
  </si>
  <si>
    <t>作业点示意图</t>
  </si>
  <si>
    <t>查看数据极差</t>
  </si>
  <si>
    <t>单炉样品极差0.25%内</t>
  </si>
  <si>
    <t>数据发送</t>
  </si>
  <si>
    <t>导出数据进行发送</t>
  </si>
  <si>
    <t>发送后，不得在文件内对数据进行更改</t>
  </si>
  <si>
    <t>安全</t>
  </si>
  <si>
    <t>质量</t>
  </si>
  <si>
    <t>关
键
作
业
图
示</t>
  </si>
  <si>
    <t xml:space="preserve">       清理电极示意                      氩气压力在绿色区间                 清理电极后检查电极</t>
  </si>
  <si>
    <t>Kartu Standar Operasional Analisis OES – Seksi OES, Departemen Quality Control</t>
  </si>
  <si>
    <t>Disusun oleh：</t>
  </si>
  <si>
    <t>Diperiksa oleh：</t>
  </si>
  <si>
    <t>Disetujui oleh：</t>
  </si>
  <si>
    <t>No. Kartu Standar Operasional:</t>
  </si>
  <si>
    <t>Tgl Pembaharuan</t>
  </si>
  <si>
    <t>Nama Pekerjaan</t>
  </si>
  <si>
    <t>Pekerjaan Analisis OES</t>
  </si>
  <si>
    <t>Posisi Kerja</t>
  </si>
  <si>
    <t>Petugas Analisis OES</t>
  </si>
  <si>
    <t>Ruang Lingkup Pekerjaan</t>
  </si>
  <si>
    <t>Mulai dari Analisis Sampel hingga Pelaporan Data</t>
  </si>
  <si>
    <t>Tahapan Pekerjaan</t>
  </si>
  <si>
    <t>Langkah Kerja</t>
  </si>
  <si>
    <t>Standar Kerja</t>
  </si>
  <si>
    <t>Peralatan/Alat</t>
  </si>
  <si>
    <t>Poin Penting</t>
  </si>
  <si>
    <t>Alasan Penting</t>
  </si>
  <si>
    <t>Waktu Standar</t>
  </si>
  <si>
    <t>Persiapan dan Konfirmasi Personel Sebelum Memulai Pekerjaan</t>
  </si>
  <si>
    <t>1. Sebelum Memulai Pekerjaan</t>
  </si>
  <si>
    <t>Periksa parameter peralatan</t>
  </si>
  <si>
    <t>Pastikan tidak ada alarm pada peralatan.</t>
  </si>
  <si>
    <t>Parameter peralatan yang tidak normal dapat menyebabkan peralatan tidak dapat dioperasikan dengan aman.</t>
  </si>
  <si>
    <t>20 detik</t>
  </si>
  <si>
    <t>1 orang</t>
  </si>
  <si>
    <t>Periksa gas argon</t>
  </si>
  <si>
    <t>Pastikan tekanan gas argon normal.</t>
  </si>
  <si>
    <t>Manometer (Pengukur Tekanan)</t>
  </si>
  <si>
    <t>Tekanan yang tidak normal dapat menyebabkan proses eksitasi tidak dapat dilakukan atau mengakibatkan data analisis tidak akurat.</t>
  </si>
  <si>
    <t>5 detik</t>
  </si>
  <si>
    <t>Persiapan dan Konfirmasi Peralatan, APD, Suku Cadang, dan Material Sebelum Memulai Pekerjaan</t>
  </si>
  <si>
    <t>Periksa elektroda</t>
  </si>
  <si>
    <t>Pastikan tidak ada sisa karbon pada elektroda dan ujung elektroda masih utuh.</t>
  </si>
  <si>
    <t>Sikat Elektroda</t>
  </si>
  <si>
    <t>Kerusakan pada elektroda dapat menyebabkan data analisis menjadi tidak normal.</t>
  </si>
  <si>
    <t>Pengukur Jarak Elektroda, Sikat Elektroda, Kain Pembersih Karbon, Bola Karet Peniup, Penutup Elektroda</t>
  </si>
  <si>
    <t>Periksa jarak celah elektroda</t>
  </si>
  <si>
    <t>Pastikan indikator pada pengukur jarak elektroda menunjukkan kondisi normal.</t>
  </si>
  <si>
    <t>Pengukur Jarak Elektroda (Electrode Gap Gauge)</t>
  </si>
  <si>
    <t>Pastikan jarak antara elektroda dan titik eksitasi tetap 3 mm.</t>
  </si>
  <si>
    <t>10 detik</t>
  </si>
  <si>
    <t>Konfirmasi Kondisi Lingkungan Kerja Sebelum Memulai Pekerjaan</t>
  </si>
  <si>
    <t>2. Selama Pekerjaan</t>
  </si>
  <si>
    <t>Lakukan eksitasi pada sampel uji (scrap)</t>
  </si>
  <si>
    <t>Lakukan eksitasi pada sampel uji sebanyak 2–3 kali.</t>
  </si>
  <si>
    <t>Sikat Elektroda, Kain Pembersih Karbon</t>
  </si>
  <si>
    <t>Mengeluarkan udara dari saluran gas (purging) sebelum analisis.</t>
  </si>
  <si>
    <t>80 detik</t>
  </si>
  <si>
    <t>Suhu dan Kelembapan</t>
  </si>
  <si>
    <t>Lakukan eksitasi pada sampel kontrol (tracking sample)</t>
  </si>
  <si>
    <t>Lakukan eksitasi pada 2–3 titik; tidak diperbolehkan hanya satu titik pengukuran.</t>
  </si>
  <si>
    <t>Poin Keselamatan</t>
  </si>
  <si>
    <t>Bandingkan data sampel kontrol</t>
  </si>
  <si>
    <t>Pastikan deviasi data berada dalam ±0,1%.</t>
  </si>
  <si>
    <t>30 detik</t>
  </si>
  <si>
    <t>Periksa parameter peralatan dan tekanan gas argon untuk memastikan peralatan beroperasi dengan aman.</t>
  </si>
  <si>
    <t>Lakukan eksitasi sampel</t>
  </si>
  <si>
    <t>Bersihkan elektroda setiap selesai satu kali eksitasi.</t>
  </si>
  <si>
    <t>Dapat menyebabkan rentang variasi data menjadi terlalu besar.</t>
  </si>
  <si>
    <t>Waktu eksitasi per titik: 50 detik</t>
  </si>
  <si>
    <t>Setelah eksitasi selesai</t>
  </si>
  <si>
    <t>Bersihkan elektroda, kemudian tutup kembali penutup ruang eksitasi.</t>
  </si>
  <si>
    <t>Penutup Elektroda</t>
  </si>
  <si>
    <t>Apabila data melebihi batas yang ditentukan, segera lakukan pencatatan masalah secara lengkap agar investigasi penyebab dapat dilakukan dengan cepat.</t>
  </si>
  <si>
    <t>Penanganan</t>
  </si>
  <si>
    <t>Periksa sampel setelah eksitasi</t>
  </si>
  <si>
    <t>Pastikan cincin hitam bekas eksitasi terbentuk sempurna, permukaan analisis bebas dari noda air, serta titik eksitasi tidak memiliki pori atau retak.</t>
  </si>
  <si>
    <t>Dapat menyebabkan hasil analisis menjadi tidak akurat.</t>
  </si>
  <si>
    <t>Ilustrasi Titik Kerja</t>
  </si>
  <si>
    <t>Periksa rentang variasi data</t>
  </si>
  <si>
    <t>Pastikan rentang variasi data untuk sampel dari satu tungku berada dalam ±0,25%.</t>
  </si>
  <si>
    <t>Pengiriman Data</t>
  </si>
  <si>
    <t>Ekspor dan kirim data</t>
  </si>
  <si>
    <t>Setelah data dikirim, dilarang melakukan perubahan terhadap data di dalam file.</t>
  </si>
  <si>
    <t>Keselamatan</t>
  </si>
  <si>
    <t>Kualitas</t>
  </si>
  <si>
    <t xml:space="preserve"> Ilustrasi Pembersihan Elektroda      Tekanan gas argon berada pada zona hijau.                Pembersihan Elektroda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</si>
</sst>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yyyy/m/d;@"/>
  </numFmts>
  <fonts count="42">
    <font>
      <sz val="11"/>
      <color theme="1"/>
      <name val="宋体"/>
      <charset val="134"/>
      <scheme val="minor"/>
    </font>
    <font>
      <sz val="24"/>
      <color theme="1"/>
      <name val="微软雅黑"/>
      <charset val="134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b/>
      <sz val="72"/>
      <name val="微软雅黑"/>
      <charset val="134"/>
    </font>
    <font>
      <b/>
      <sz val="48"/>
      <name val="微软雅黑"/>
      <charset val="134"/>
    </font>
    <font>
      <b/>
      <sz val="36"/>
      <name val="微软雅黑"/>
      <charset val="134"/>
    </font>
    <font>
      <b/>
      <sz val="28"/>
      <name val="微软雅黑"/>
      <charset val="134"/>
    </font>
    <font>
      <b/>
      <sz val="36"/>
      <color theme="0"/>
      <name val="微软雅黑"/>
      <charset val="134"/>
    </font>
    <font>
      <sz val="36"/>
      <name val="微软雅黑"/>
      <charset val="134"/>
    </font>
    <font>
      <sz val="28"/>
      <name val="微软雅黑"/>
      <charset val="134"/>
    </font>
    <font>
      <b/>
      <sz val="28"/>
      <color theme="0"/>
      <name val="微软雅黑"/>
      <charset val="134"/>
    </font>
    <font>
      <sz val="28"/>
      <color theme="1"/>
      <name val="微软雅黑"/>
      <charset val="134"/>
    </font>
    <font>
      <sz val="22"/>
      <color theme="1"/>
      <name val="微软雅黑"/>
      <charset val="134"/>
    </font>
    <font>
      <sz val="22"/>
      <name val="微软雅黑"/>
      <charset val="134"/>
    </font>
    <font>
      <sz val="18"/>
      <name val="微软雅黑"/>
      <charset val="134"/>
    </font>
    <font>
      <b/>
      <sz val="36"/>
      <color theme="1"/>
      <name val="微软雅黑"/>
      <charset val="134"/>
    </font>
    <font>
      <sz val="48"/>
      <name val="微软雅黑"/>
      <charset val="134"/>
    </font>
    <font>
      <sz val="24"/>
      <name val="微软雅黑"/>
      <charset val="134"/>
    </font>
    <font>
      <sz val="18"/>
      <color theme="1"/>
      <name val="微软雅黑"/>
      <charset val="134"/>
    </font>
    <font>
      <b/>
      <sz val="2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" borderId="16" applyNumberFormat="0" applyAlignment="0" applyProtection="0">
      <alignment vertical="center"/>
    </xf>
    <xf numFmtId="0" fontId="30" fillId="6" borderId="17" applyNumberFormat="0" applyAlignment="0" applyProtection="0">
      <alignment vertical="center"/>
    </xf>
    <xf numFmtId="0" fontId="31" fillId="6" borderId="16" applyNumberFormat="0" applyAlignment="0" applyProtection="0">
      <alignment vertical="center"/>
    </xf>
    <xf numFmtId="0" fontId="32" fillId="7" borderId="18" applyNumberFormat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protection locked="0"/>
    </xf>
    <xf numFmtId="0" fontId="0" fillId="0" borderId="0"/>
    <xf numFmtId="0" fontId="0" fillId="0" borderId="0">
      <alignment vertical="center"/>
    </xf>
    <xf numFmtId="0" fontId="41" fillId="0" borderId="0">
      <alignment vertical="center"/>
    </xf>
    <xf numFmtId="0" fontId="0" fillId="0" borderId="0"/>
  </cellStyleXfs>
  <cellXfs count="57">
    <xf numFmtId="0" fontId="0" fillId="0" borderId="0" xfId="0">
      <alignment vertical="center"/>
    </xf>
    <xf numFmtId="0" fontId="1" fillId="0" borderId="0" xfId="49" applyFont="1" applyAlignment="1">
      <alignment horizontal="center"/>
    </xf>
    <xf numFmtId="0" fontId="2" fillId="0" borderId="0" xfId="49" applyFont="1" applyAlignment="1">
      <alignment horizontal="center"/>
    </xf>
    <xf numFmtId="0" fontId="3" fillId="0" borderId="0" xfId="49" applyFont="1" applyAlignment="1">
      <alignment horizontal="center"/>
    </xf>
    <xf numFmtId="0" fontId="4" fillId="2" borderId="1" xfId="49" applyFont="1" applyFill="1" applyBorder="1" applyAlignment="1">
      <alignment horizontal="center" vertical="center" wrapText="1"/>
    </xf>
    <xf numFmtId="0" fontId="5" fillId="2" borderId="1" xfId="49" applyFont="1" applyFill="1" applyBorder="1" applyAlignment="1">
      <alignment horizontal="center" vertical="center" wrapText="1"/>
    </xf>
    <xf numFmtId="0" fontId="6" fillId="2" borderId="2" xfId="50" applyFont="1" applyFill="1" applyBorder="1" applyAlignment="1">
      <alignment horizontal="center" vertical="center" wrapText="1"/>
    </xf>
    <xf numFmtId="0" fontId="6" fillId="2" borderId="1" xfId="50" applyFont="1" applyFill="1" applyBorder="1" applyAlignment="1">
      <alignment horizontal="center" vertical="center" wrapText="1"/>
    </xf>
    <xf numFmtId="0" fontId="7" fillId="2" borderId="1" xfId="50" applyFont="1" applyFill="1" applyBorder="1" applyAlignment="1">
      <alignment horizontal="center" vertical="center" wrapText="1"/>
    </xf>
    <xf numFmtId="178" fontId="6" fillId="2" borderId="1" xfId="50" applyNumberFormat="1" applyFont="1" applyFill="1" applyBorder="1" applyAlignment="1">
      <alignment horizontal="center" vertical="center" wrapText="1"/>
    </xf>
    <xf numFmtId="0" fontId="8" fillId="3" borderId="1" xfId="50" applyFont="1" applyFill="1" applyBorder="1" applyAlignment="1">
      <alignment horizontal="center" vertical="center" wrapText="1"/>
    </xf>
    <xf numFmtId="0" fontId="9" fillId="2" borderId="1" xfId="50" applyFont="1" applyFill="1" applyBorder="1" applyAlignment="1">
      <alignment horizontal="center" vertical="center" wrapText="1"/>
    </xf>
    <xf numFmtId="0" fontId="10" fillId="2" borderId="1" xfId="50" applyFont="1" applyFill="1" applyBorder="1" applyAlignment="1">
      <alignment horizontal="center" vertical="center" wrapText="1"/>
    </xf>
    <xf numFmtId="0" fontId="11" fillId="3" borderId="1" xfId="50" applyFont="1" applyFill="1" applyBorder="1" applyAlignment="1">
      <alignment horizontal="center" vertical="center" wrapText="1"/>
    </xf>
    <xf numFmtId="0" fontId="6" fillId="2" borderId="3" xfId="49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0" fillId="2" borderId="1" xfId="49" applyFont="1" applyFill="1" applyBorder="1" applyAlignment="1">
      <alignment horizontal="center" vertical="center" wrapText="1"/>
    </xf>
    <xf numFmtId="0" fontId="14" fillId="2" borderId="1" xfId="49" applyFont="1" applyFill="1" applyBorder="1" applyAlignment="1">
      <alignment horizontal="left" vertical="center" wrapText="1"/>
    </xf>
    <xf numFmtId="0" fontId="6" fillId="2" borderId="4" xfId="49" applyFont="1" applyFill="1" applyBorder="1" applyAlignment="1">
      <alignment horizontal="center" vertical="center" wrapText="1"/>
    </xf>
    <xf numFmtId="0" fontId="6" fillId="2" borderId="2" xfId="49" applyFont="1" applyFill="1" applyBorder="1" applyAlignment="1">
      <alignment horizontal="center" vertical="center" wrapText="1"/>
    </xf>
    <xf numFmtId="0" fontId="6" fillId="2" borderId="1" xfId="49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8" fillId="3" borderId="4" xfId="5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left" wrapText="1"/>
    </xf>
    <xf numFmtId="0" fontId="18" fillId="2" borderId="6" xfId="0" applyFont="1" applyFill="1" applyBorder="1" applyAlignment="1">
      <alignment horizontal="left" wrapText="1"/>
    </xf>
    <xf numFmtId="0" fontId="18" fillId="2" borderId="7" xfId="0" applyFont="1" applyFill="1" applyBorder="1" applyAlignment="1">
      <alignment horizontal="left" wrapText="1"/>
    </xf>
    <xf numFmtId="0" fontId="18" fillId="2" borderId="8" xfId="0" applyFont="1" applyFill="1" applyBorder="1" applyAlignment="1">
      <alignment horizontal="left" wrapText="1"/>
    </xf>
    <xf numFmtId="0" fontId="18" fillId="2" borderId="0" xfId="0" applyFont="1" applyFill="1" applyAlignment="1">
      <alignment horizontal="left" wrapText="1"/>
    </xf>
    <xf numFmtId="0" fontId="18" fillId="2" borderId="9" xfId="0" applyFont="1" applyFill="1" applyBorder="1" applyAlignment="1">
      <alignment horizontal="left" wrapText="1"/>
    </xf>
    <xf numFmtId="0" fontId="8" fillId="3" borderId="2" xfId="5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left" wrapText="1"/>
    </xf>
    <xf numFmtId="0" fontId="18" fillId="2" borderId="11" xfId="0" applyFont="1" applyFill="1" applyBorder="1" applyAlignment="1">
      <alignment horizontal="left" wrapText="1"/>
    </xf>
    <xf numFmtId="0" fontId="18" fillId="2" borderId="12" xfId="0" applyFont="1" applyFill="1" applyBorder="1" applyAlignment="1">
      <alignment horizontal="left" wrapText="1"/>
    </xf>
    <xf numFmtId="0" fontId="19" fillId="0" borderId="0" xfId="49" applyFont="1" applyAlignment="1">
      <alignment horizontal="center"/>
    </xf>
    <xf numFmtId="0" fontId="4" fillId="2" borderId="1" xfId="49" applyFont="1" applyFill="1" applyBorder="1" applyAlignment="1">
      <alignment horizontal="center" vertical="center"/>
    </xf>
    <xf numFmtId="0" fontId="6" fillId="2" borderId="2" xfId="50" applyFont="1" applyFill="1" applyBorder="1" applyAlignment="1">
      <alignment horizontal="center" vertical="center"/>
    </xf>
    <xf numFmtId="0" fontId="6" fillId="2" borderId="1" xfId="50" applyFont="1" applyFill="1" applyBorder="1" applyAlignment="1">
      <alignment horizontal="center" vertical="center"/>
    </xf>
    <xf numFmtId="178" fontId="6" fillId="2" borderId="1" xfId="50" applyNumberFormat="1" applyFont="1" applyFill="1" applyBorder="1" applyAlignment="1">
      <alignment horizontal="center" vertical="center"/>
    </xf>
    <xf numFmtId="0" fontId="8" fillId="3" borderId="1" xfId="50" applyFont="1" applyFill="1" applyBorder="1" applyAlignment="1">
      <alignment horizontal="center" vertical="center"/>
    </xf>
    <xf numFmtId="0" fontId="9" fillId="2" borderId="1" xfId="50" applyFont="1" applyFill="1" applyBorder="1" applyAlignment="1">
      <alignment horizontal="center" vertical="center"/>
    </xf>
    <xf numFmtId="0" fontId="7" fillId="2" borderId="3" xfId="49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0" fillId="2" borderId="1" xfId="49" applyFont="1" applyFill="1" applyBorder="1" applyAlignment="1">
      <alignment horizontal="left" vertical="center" wrapText="1"/>
    </xf>
    <xf numFmtId="0" fontId="7" fillId="2" borderId="4" xfId="49" applyFont="1" applyFill="1" applyBorder="1" applyAlignment="1">
      <alignment horizontal="center" vertical="center" wrapText="1"/>
    </xf>
    <xf numFmtId="0" fontId="7" fillId="2" borderId="2" xfId="49" applyFont="1" applyFill="1" applyBorder="1" applyAlignment="1">
      <alignment horizontal="center" vertical="center" wrapText="1"/>
    </xf>
    <xf numFmtId="0" fontId="11" fillId="3" borderId="1" xfId="50" applyFont="1" applyFill="1" applyBorder="1" applyAlignment="1">
      <alignment horizontal="center" vertical="center"/>
    </xf>
    <xf numFmtId="0" fontId="7" fillId="2" borderId="1" xfId="49" applyFont="1" applyFill="1" applyBorder="1" applyAlignment="1">
      <alignment horizontal="center" vertical="center" wrapText="1"/>
    </xf>
    <xf numFmtId="0" fontId="10" fillId="2" borderId="1" xfId="49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7" fillId="2" borderId="1" xfId="50" applyFont="1" applyFill="1" applyBorder="1" applyAlignment="1">
      <alignment horizontal="center"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2 2 3" xfId="52"/>
    <cellStyle name="常规 2 3" xfId="53"/>
    <cellStyle name="常规 3" xfId="54"/>
    <cellStyle name="常规 6" xfId="55"/>
    <cellStyle name="常规 6 2" xfId="56"/>
  </cellStyles>
  <tableStyles count="0" defaultTableStyle="TableStyleMedium2" defaultPivotStyle="PivotStyleLight16"/>
  <colors>
    <mruColors>
      <color rgb="00006600"/>
      <color rgb="00008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8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466725</xdr:colOff>
      <xdr:row>20</xdr:row>
      <xdr:rowOff>0</xdr:rowOff>
    </xdr:from>
    <xdr:to>
      <xdr:col>10</xdr:col>
      <xdr:colOff>661669</xdr:colOff>
      <xdr:row>20</xdr:row>
      <xdr:rowOff>19050</xdr:rowOff>
    </xdr:to>
    <xdr:sp>
      <xdr:nvSpPr>
        <xdr:cNvPr id="3" name="TextBox 136"/>
        <xdr:cNvSpPr txBox="1">
          <a:spLocks noChangeArrowheads="1"/>
        </xdr:cNvSpPr>
      </xdr:nvSpPr>
      <xdr:spPr>
        <a:xfrm>
          <a:off x="38430835" y="24853900"/>
          <a:ext cx="1943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337820</xdr:colOff>
      <xdr:row>16</xdr:row>
      <xdr:rowOff>9525</xdr:rowOff>
    </xdr:to>
    <xdr:sp>
      <xdr:nvSpPr>
        <xdr:cNvPr id="12" name="TextBox 112"/>
        <xdr:cNvSpPr txBox="1">
          <a:spLocks noChangeArrowheads="1"/>
        </xdr:cNvSpPr>
      </xdr:nvSpPr>
      <xdr:spPr>
        <a:xfrm>
          <a:off x="36392485" y="19773900"/>
          <a:ext cx="33782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11</xdr:col>
      <xdr:colOff>581025</xdr:colOff>
      <xdr:row>16</xdr:row>
      <xdr:rowOff>0</xdr:rowOff>
    </xdr:from>
    <xdr:to>
      <xdr:col>11</xdr:col>
      <xdr:colOff>915035</xdr:colOff>
      <xdr:row>16</xdr:row>
      <xdr:rowOff>1905</xdr:rowOff>
    </xdr:to>
    <xdr:sp>
      <xdr:nvSpPr>
        <xdr:cNvPr id="13" name="TextBox 112"/>
        <xdr:cNvSpPr txBox="1">
          <a:spLocks noChangeArrowheads="1"/>
        </xdr:cNvSpPr>
      </xdr:nvSpPr>
      <xdr:spPr>
        <a:xfrm>
          <a:off x="39640510" y="19773900"/>
          <a:ext cx="334010" cy="1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337820</xdr:colOff>
      <xdr:row>30</xdr:row>
      <xdr:rowOff>9525</xdr:rowOff>
    </xdr:to>
    <xdr:sp>
      <xdr:nvSpPr>
        <xdr:cNvPr id="7" name="TextBox 112"/>
        <xdr:cNvSpPr txBox="1">
          <a:spLocks noChangeArrowheads="1"/>
        </xdr:cNvSpPr>
      </xdr:nvSpPr>
      <xdr:spPr>
        <a:xfrm>
          <a:off x="36392485" y="28095575"/>
          <a:ext cx="33782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11</xdr:col>
      <xdr:colOff>581025</xdr:colOff>
      <xdr:row>30</xdr:row>
      <xdr:rowOff>0</xdr:rowOff>
    </xdr:from>
    <xdr:to>
      <xdr:col>11</xdr:col>
      <xdr:colOff>915035</xdr:colOff>
      <xdr:row>30</xdr:row>
      <xdr:rowOff>1905</xdr:rowOff>
    </xdr:to>
    <xdr:sp>
      <xdr:nvSpPr>
        <xdr:cNvPr id="8" name="TextBox 112"/>
        <xdr:cNvSpPr txBox="1">
          <a:spLocks noChangeArrowheads="1"/>
        </xdr:cNvSpPr>
      </xdr:nvSpPr>
      <xdr:spPr>
        <a:xfrm>
          <a:off x="39640510" y="28095575"/>
          <a:ext cx="334010" cy="1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6</xdr:col>
      <xdr:colOff>604520</xdr:colOff>
      <xdr:row>4</xdr:row>
      <xdr:rowOff>301625</xdr:rowOff>
    </xdr:from>
    <xdr:to>
      <xdr:col>6</xdr:col>
      <xdr:colOff>1751965</xdr:colOff>
      <xdr:row>4</xdr:row>
      <xdr:rowOff>1021715</xdr:rowOff>
    </xdr:to>
    <xdr:sp>
      <xdr:nvSpPr>
        <xdr:cNvPr id="10" name="加号 1"/>
        <xdr:cNvSpPr>
          <a:spLocks noChangeArrowheads="1"/>
        </xdr:cNvSpPr>
      </xdr:nvSpPr>
      <xdr:spPr>
        <a:xfrm>
          <a:off x="23618825" y="6359525"/>
          <a:ext cx="1147445" cy="720090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>
    <xdr:from>
      <xdr:col>6</xdr:col>
      <xdr:colOff>104775</xdr:colOff>
      <xdr:row>5</xdr:row>
      <xdr:rowOff>301625</xdr:rowOff>
    </xdr:from>
    <xdr:to>
      <xdr:col>6</xdr:col>
      <xdr:colOff>1252220</xdr:colOff>
      <xdr:row>5</xdr:row>
      <xdr:rowOff>1021715</xdr:rowOff>
    </xdr:to>
    <xdr:sp>
      <xdr:nvSpPr>
        <xdr:cNvPr id="11" name="加号 1"/>
        <xdr:cNvSpPr>
          <a:spLocks noChangeArrowheads="1"/>
        </xdr:cNvSpPr>
      </xdr:nvSpPr>
      <xdr:spPr>
        <a:xfrm>
          <a:off x="23119080" y="7502525"/>
          <a:ext cx="1147445" cy="720090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>
    <xdr:from>
      <xdr:col>6</xdr:col>
      <xdr:colOff>1390650</xdr:colOff>
      <xdr:row>5</xdr:row>
      <xdr:rowOff>373380</xdr:rowOff>
    </xdr:from>
    <xdr:to>
      <xdr:col>6</xdr:col>
      <xdr:colOff>2719070</xdr:colOff>
      <xdr:row>5</xdr:row>
      <xdr:rowOff>913130</xdr:rowOff>
    </xdr:to>
    <xdr:sp>
      <xdr:nvSpPr>
        <xdr:cNvPr id="14" name="流程图: 决策 62"/>
        <xdr:cNvSpPr>
          <a:spLocks noChangeArrowheads="1"/>
        </xdr:cNvSpPr>
      </xdr:nvSpPr>
      <xdr:spPr>
        <a:xfrm>
          <a:off x="24404955" y="757428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699770</xdr:colOff>
      <xdr:row>6</xdr:row>
      <xdr:rowOff>349250</xdr:rowOff>
    </xdr:from>
    <xdr:to>
      <xdr:col>6</xdr:col>
      <xdr:colOff>2028190</xdr:colOff>
      <xdr:row>6</xdr:row>
      <xdr:rowOff>873125</xdr:rowOff>
    </xdr:to>
    <xdr:sp>
      <xdr:nvSpPr>
        <xdr:cNvPr id="15" name="流程图: 决策 62"/>
        <xdr:cNvSpPr>
          <a:spLocks noChangeArrowheads="1"/>
        </xdr:cNvSpPr>
      </xdr:nvSpPr>
      <xdr:spPr>
        <a:xfrm>
          <a:off x="23714075" y="8693150"/>
          <a:ext cx="1328420" cy="523875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628650</xdr:colOff>
      <xdr:row>7</xdr:row>
      <xdr:rowOff>349250</xdr:rowOff>
    </xdr:from>
    <xdr:to>
      <xdr:col>6</xdr:col>
      <xdr:colOff>1957070</xdr:colOff>
      <xdr:row>7</xdr:row>
      <xdr:rowOff>873125</xdr:rowOff>
    </xdr:to>
    <xdr:sp>
      <xdr:nvSpPr>
        <xdr:cNvPr id="16" name="流程图: 决策 62"/>
        <xdr:cNvSpPr>
          <a:spLocks noChangeArrowheads="1"/>
        </xdr:cNvSpPr>
      </xdr:nvSpPr>
      <xdr:spPr>
        <a:xfrm>
          <a:off x="23642955" y="9836150"/>
          <a:ext cx="1328420" cy="523875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581025</xdr:colOff>
      <xdr:row>8</xdr:row>
      <xdr:rowOff>278130</xdr:rowOff>
    </xdr:from>
    <xdr:to>
      <xdr:col>6</xdr:col>
      <xdr:colOff>1909445</xdr:colOff>
      <xdr:row>8</xdr:row>
      <xdr:rowOff>817880</xdr:rowOff>
    </xdr:to>
    <xdr:sp>
      <xdr:nvSpPr>
        <xdr:cNvPr id="17" name="流程图: 决策 62"/>
        <xdr:cNvSpPr>
          <a:spLocks noChangeArrowheads="1"/>
        </xdr:cNvSpPr>
      </xdr:nvSpPr>
      <xdr:spPr>
        <a:xfrm>
          <a:off x="23595330" y="1090803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628650</xdr:colOff>
      <xdr:row>9</xdr:row>
      <xdr:rowOff>349250</xdr:rowOff>
    </xdr:from>
    <xdr:to>
      <xdr:col>6</xdr:col>
      <xdr:colOff>1957070</xdr:colOff>
      <xdr:row>9</xdr:row>
      <xdr:rowOff>889000</xdr:rowOff>
    </xdr:to>
    <xdr:sp>
      <xdr:nvSpPr>
        <xdr:cNvPr id="18" name="流程图: 决策 62"/>
        <xdr:cNvSpPr>
          <a:spLocks noChangeArrowheads="1"/>
        </xdr:cNvSpPr>
      </xdr:nvSpPr>
      <xdr:spPr>
        <a:xfrm>
          <a:off x="23642955" y="1212215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819150</xdr:colOff>
      <xdr:row>10</xdr:row>
      <xdr:rowOff>396875</xdr:rowOff>
    </xdr:from>
    <xdr:to>
      <xdr:col>6</xdr:col>
      <xdr:colOff>2147570</xdr:colOff>
      <xdr:row>10</xdr:row>
      <xdr:rowOff>936625</xdr:rowOff>
    </xdr:to>
    <xdr:sp>
      <xdr:nvSpPr>
        <xdr:cNvPr id="19" name="流程图: 决策 62"/>
        <xdr:cNvSpPr>
          <a:spLocks noChangeArrowheads="1"/>
        </xdr:cNvSpPr>
      </xdr:nvSpPr>
      <xdr:spPr>
        <a:xfrm>
          <a:off x="23833455" y="13312775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747395</xdr:colOff>
      <xdr:row>11</xdr:row>
      <xdr:rowOff>349250</xdr:rowOff>
    </xdr:from>
    <xdr:to>
      <xdr:col>6</xdr:col>
      <xdr:colOff>2075815</xdr:colOff>
      <xdr:row>11</xdr:row>
      <xdr:rowOff>889000</xdr:rowOff>
    </xdr:to>
    <xdr:sp>
      <xdr:nvSpPr>
        <xdr:cNvPr id="20" name="流程图: 决策 62"/>
        <xdr:cNvSpPr>
          <a:spLocks noChangeArrowheads="1"/>
        </xdr:cNvSpPr>
      </xdr:nvSpPr>
      <xdr:spPr>
        <a:xfrm>
          <a:off x="23761700" y="1440815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819150</xdr:colOff>
      <xdr:row>12</xdr:row>
      <xdr:rowOff>325120</xdr:rowOff>
    </xdr:from>
    <xdr:to>
      <xdr:col>6</xdr:col>
      <xdr:colOff>2147570</xdr:colOff>
      <xdr:row>12</xdr:row>
      <xdr:rowOff>864870</xdr:rowOff>
    </xdr:to>
    <xdr:sp>
      <xdr:nvSpPr>
        <xdr:cNvPr id="21" name="流程图: 决策 62"/>
        <xdr:cNvSpPr>
          <a:spLocks noChangeArrowheads="1"/>
        </xdr:cNvSpPr>
      </xdr:nvSpPr>
      <xdr:spPr>
        <a:xfrm>
          <a:off x="23833455" y="1552702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795655</xdr:colOff>
      <xdr:row>13</xdr:row>
      <xdr:rowOff>492125</xdr:rowOff>
    </xdr:from>
    <xdr:to>
      <xdr:col>6</xdr:col>
      <xdr:colOff>2124075</xdr:colOff>
      <xdr:row>13</xdr:row>
      <xdr:rowOff>1031875</xdr:rowOff>
    </xdr:to>
    <xdr:sp>
      <xdr:nvSpPr>
        <xdr:cNvPr id="22" name="流程图: 决策 62"/>
        <xdr:cNvSpPr>
          <a:spLocks noChangeArrowheads="1"/>
        </xdr:cNvSpPr>
      </xdr:nvSpPr>
      <xdr:spPr>
        <a:xfrm>
          <a:off x="23809960" y="16837025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795655</xdr:colOff>
      <xdr:row>14</xdr:row>
      <xdr:rowOff>444500</xdr:rowOff>
    </xdr:from>
    <xdr:to>
      <xdr:col>6</xdr:col>
      <xdr:colOff>2124075</xdr:colOff>
      <xdr:row>14</xdr:row>
      <xdr:rowOff>984250</xdr:rowOff>
    </xdr:to>
    <xdr:sp>
      <xdr:nvSpPr>
        <xdr:cNvPr id="23" name="流程图: 决策 62"/>
        <xdr:cNvSpPr>
          <a:spLocks noChangeArrowheads="1"/>
        </xdr:cNvSpPr>
      </xdr:nvSpPr>
      <xdr:spPr>
        <a:xfrm>
          <a:off x="23809960" y="1793240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1318895</xdr:colOff>
      <xdr:row>15</xdr:row>
      <xdr:rowOff>372745</xdr:rowOff>
    </xdr:from>
    <xdr:to>
      <xdr:col>6</xdr:col>
      <xdr:colOff>2647315</xdr:colOff>
      <xdr:row>15</xdr:row>
      <xdr:rowOff>912495</xdr:rowOff>
    </xdr:to>
    <xdr:sp>
      <xdr:nvSpPr>
        <xdr:cNvPr id="24" name="流程图: 决策 62"/>
        <xdr:cNvSpPr>
          <a:spLocks noChangeArrowheads="1"/>
        </xdr:cNvSpPr>
      </xdr:nvSpPr>
      <xdr:spPr>
        <a:xfrm>
          <a:off x="24333200" y="19003645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0</xdr:colOff>
      <xdr:row>15</xdr:row>
      <xdr:rowOff>325755</xdr:rowOff>
    </xdr:from>
    <xdr:to>
      <xdr:col>6</xdr:col>
      <xdr:colOff>1147445</xdr:colOff>
      <xdr:row>15</xdr:row>
      <xdr:rowOff>1045845</xdr:rowOff>
    </xdr:to>
    <xdr:sp>
      <xdr:nvSpPr>
        <xdr:cNvPr id="25" name="加号 1"/>
        <xdr:cNvSpPr>
          <a:spLocks noChangeArrowheads="1"/>
        </xdr:cNvSpPr>
      </xdr:nvSpPr>
      <xdr:spPr>
        <a:xfrm>
          <a:off x="23014305" y="18956655"/>
          <a:ext cx="1147445" cy="720090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479425</xdr:colOff>
      <xdr:row>15</xdr:row>
      <xdr:rowOff>363855</xdr:rowOff>
    </xdr:from>
    <xdr:to>
      <xdr:col>14</xdr:col>
      <xdr:colOff>236220</xdr:colOff>
      <xdr:row>15</xdr:row>
      <xdr:rowOff>903605</xdr:rowOff>
    </xdr:to>
    <xdr:sp>
      <xdr:nvSpPr>
        <xdr:cNvPr id="26" name="流程图: 决策 62"/>
        <xdr:cNvSpPr>
          <a:spLocks noChangeArrowheads="1"/>
        </xdr:cNvSpPr>
      </xdr:nvSpPr>
      <xdr:spPr>
        <a:xfrm>
          <a:off x="42253535" y="18994755"/>
          <a:ext cx="216154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10</xdr:col>
      <xdr:colOff>771525</xdr:colOff>
      <xdr:row>15</xdr:row>
      <xdr:rowOff>238760</xdr:rowOff>
    </xdr:from>
    <xdr:to>
      <xdr:col>11</xdr:col>
      <xdr:colOff>347345</xdr:colOff>
      <xdr:row>15</xdr:row>
      <xdr:rowOff>958850</xdr:rowOff>
    </xdr:to>
    <xdr:sp>
      <xdr:nvSpPr>
        <xdr:cNvPr id="27" name="加号 1"/>
        <xdr:cNvSpPr>
          <a:spLocks noChangeArrowheads="1"/>
        </xdr:cNvSpPr>
      </xdr:nvSpPr>
      <xdr:spPr>
        <a:xfrm>
          <a:off x="38735635" y="18869660"/>
          <a:ext cx="671195" cy="720090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337820</xdr:colOff>
      <xdr:row>11</xdr:row>
      <xdr:rowOff>9525</xdr:rowOff>
    </xdr:to>
    <xdr:sp>
      <xdr:nvSpPr>
        <xdr:cNvPr id="28" name="TextBox 112"/>
        <xdr:cNvSpPr txBox="1">
          <a:spLocks noChangeArrowheads="1"/>
        </xdr:cNvSpPr>
      </xdr:nvSpPr>
      <xdr:spPr>
        <a:xfrm>
          <a:off x="36392485" y="14058900"/>
          <a:ext cx="33782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11</xdr:col>
      <xdr:colOff>581025</xdr:colOff>
      <xdr:row>11</xdr:row>
      <xdr:rowOff>0</xdr:rowOff>
    </xdr:from>
    <xdr:to>
      <xdr:col>11</xdr:col>
      <xdr:colOff>915035</xdr:colOff>
      <xdr:row>11</xdr:row>
      <xdr:rowOff>1905</xdr:rowOff>
    </xdr:to>
    <xdr:sp>
      <xdr:nvSpPr>
        <xdr:cNvPr id="29" name="TextBox 112"/>
        <xdr:cNvSpPr txBox="1">
          <a:spLocks noChangeArrowheads="1"/>
        </xdr:cNvSpPr>
      </xdr:nvSpPr>
      <xdr:spPr>
        <a:xfrm>
          <a:off x="39640510" y="14058900"/>
          <a:ext cx="334010" cy="1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10</xdr:col>
      <xdr:colOff>57150</xdr:colOff>
      <xdr:row>14</xdr:row>
      <xdr:rowOff>163195</xdr:rowOff>
    </xdr:from>
    <xdr:to>
      <xdr:col>13</xdr:col>
      <xdr:colOff>833120</xdr:colOff>
      <xdr:row>14</xdr:row>
      <xdr:rowOff>908050</xdr:rowOff>
    </xdr:to>
    <xdr:pic>
      <xdr:nvPicPr>
        <xdr:cNvPr id="30" name="图片 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021260" y="17651095"/>
          <a:ext cx="4585970" cy="744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81280</xdr:colOff>
      <xdr:row>16</xdr:row>
      <xdr:rowOff>206375</xdr:rowOff>
    </xdr:from>
    <xdr:to>
      <xdr:col>4</xdr:col>
      <xdr:colOff>2163445</xdr:colOff>
      <xdr:row>19</xdr:row>
      <xdr:rowOff>303530</xdr:rowOff>
    </xdr:to>
    <xdr:pic>
      <xdr:nvPicPr>
        <xdr:cNvPr id="31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161280" y="19980275"/>
          <a:ext cx="8696325" cy="39071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2747645</xdr:colOff>
      <xdr:row>16</xdr:row>
      <xdr:rowOff>277495</xdr:rowOff>
    </xdr:from>
    <xdr:to>
      <xdr:col>5</xdr:col>
      <xdr:colOff>1854200</xdr:colOff>
      <xdr:row>19</xdr:row>
      <xdr:rowOff>334010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441805" y="20051395"/>
          <a:ext cx="7559675" cy="3866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208280</xdr:colOff>
      <xdr:row>16</xdr:row>
      <xdr:rowOff>492125</xdr:rowOff>
    </xdr:from>
    <xdr:to>
      <xdr:col>7</xdr:col>
      <xdr:colOff>3423285</xdr:colOff>
      <xdr:row>19</xdr:row>
      <xdr:rowOff>469265</xdr:rowOff>
    </xdr:to>
    <xdr:pic>
      <xdr:nvPicPr>
        <xdr:cNvPr id="33" name="图片 3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222585" y="20266025"/>
          <a:ext cx="6082030" cy="3787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698500</xdr:colOff>
      <xdr:row>1</xdr:row>
      <xdr:rowOff>341630</xdr:rowOff>
    </xdr:from>
    <xdr:to>
      <xdr:col>2</xdr:col>
      <xdr:colOff>2256790</xdr:colOff>
      <xdr:row>1</xdr:row>
      <xdr:rowOff>1179830</xdr:rowOff>
    </xdr:to>
    <xdr:pic>
      <xdr:nvPicPr>
        <xdr:cNvPr id="2" name="图片 2" descr="53de7992f4dd23a0a934cbbe6400c88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778500" y="2627630"/>
          <a:ext cx="1558290" cy="838200"/>
        </a:xfrm>
        <a:prstGeom prst="rect">
          <a:avLst/>
        </a:prstGeom>
      </xdr:spPr>
    </xdr:pic>
    <xdr:clientData/>
  </xdr:twoCellAnchor>
  <xdr:twoCellAnchor editAs="oneCell">
    <xdr:from>
      <xdr:col>4</xdr:col>
      <xdr:colOff>1391285</xdr:colOff>
      <xdr:row>1</xdr:row>
      <xdr:rowOff>255270</xdr:rowOff>
    </xdr:from>
    <xdr:to>
      <xdr:col>4</xdr:col>
      <xdr:colOff>2986405</xdr:colOff>
      <xdr:row>1</xdr:row>
      <xdr:rowOff>1181735</xdr:rowOff>
    </xdr:to>
    <xdr:pic>
      <xdr:nvPicPr>
        <xdr:cNvPr id="4" name="图片 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085445" y="2541270"/>
          <a:ext cx="1595120" cy="926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438150</xdr:colOff>
      <xdr:row>1</xdr:row>
      <xdr:rowOff>94615</xdr:rowOff>
    </xdr:from>
    <xdr:to>
      <xdr:col>6</xdr:col>
      <xdr:colOff>2354580</xdr:colOff>
      <xdr:row>1</xdr:row>
      <xdr:rowOff>1217930</xdr:rowOff>
    </xdr:to>
    <xdr:pic>
      <xdr:nvPicPr>
        <xdr:cNvPr id="5" name="图片 1" descr="IMG_25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452455" y="2380615"/>
          <a:ext cx="1916430" cy="11233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16</xdr:row>
      <xdr:rowOff>0</xdr:rowOff>
    </xdr:from>
    <xdr:to>
      <xdr:col>9</xdr:col>
      <xdr:colOff>337820</xdr:colOff>
      <xdr:row>16</xdr:row>
      <xdr:rowOff>9525</xdr:rowOff>
    </xdr:to>
    <xdr:sp>
      <xdr:nvSpPr>
        <xdr:cNvPr id="2" name="TextBox 112"/>
        <xdr:cNvSpPr txBox="1">
          <a:spLocks noChangeArrowheads="1"/>
        </xdr:cNvSpPr>
      </xdr:nvSpPr>
      <xdr:spPr>
        <a:xfrm>
          <a:off x="40291385" y="25641300"/>
          <a:ext cx="33782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11</xdr:col>
      <xdr:colOff>581025</xdr:colOff>
      <xdr:row>16</xdr:row>
      <xdr:rowOff>0</xdr:rowOff>
    </xdr:from>
    <xdr:to>
      <xdr:col>11</xdr:col>
      <xdr:colOff>915035</xdr:colOff>
      <xdr:row>16</xdr:row>
      <xdr:rowOff>1905</xdr:rowOff>
    </xdr:to>
    <xdr:sp>
      <xdr:nvSpPr>
        <xdr:cNvPr id="3" name="TextBox 112"/>
        <xdr:cNvSpPr txBox="1">
          <a:spLocks noChangeArrowheads="1"/>
        </xdr:cNvSpPr>
      </xdr:nvSpPr>
      <xdr:spPr>
        <a:xfrm>
          <a:off x="43539410" y="25641300"/>
          <a:ext cx="334010" cy="1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337820</xdr:colOff>
      <xdr:row>30</xdr:row>
      <xdr:rowOff>9525</xdr:rowOff>
    </xdr:to>
    <xdr:sp>
      <xdr:nvSpPr>
        <xdr:cNvPr id="4" name="TextBox 112"/>
        <xdr:cNvSpPr txBox="1">
          <a:spLocks noChangeArrowheads="1"/>
        </xdr:cNvSpPr>
      </xdr:nvSpPr>
      <xdr:spPr>
        <a:xfrm>
          <a:off x="40291385" y="33962975"/>
          <a:ext cx="33782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11</xdr:col>
      <xdr:colOff>581025</xdr:colOff>
      <xdr:row>30</xdr:row>
      <xdr:rowOff>0</xdr:rowOff>
    </xdr:from>
    <xdr:to>
      <xdr:col>11</xdr:col>
      <xdr:colOff>915035</xdr:colOff>
      <xdr:row>30</xdr:row>
      <xdr:rowOff>1905</xdr:rowOff>
    </xdr:to>
    <xdr:sp>
      <xdr:nvSpPr>
        <xdr:cNvPr id="5" name="TextBox 112"/>
        <xdr:cNvSpPr txBox="1">
          <a:spLocks noChangeArrowheads="1"/>
        </xdr:cNvSpPr>
      </xdr:nvSpPr>
      <xdr:spPr>
        <a:xfrm>
          <a:off x="43539410" y="33962975"/>
          <a:ext cx="334010" cy="1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6</xdr:col>
      <xdr:colOff>604520</xdr:colOff>
      <xdr:row>4</xdr:row>
      <xdr:rowOff>301625</xdr:rowOff>
    </xdr:from>
    <xdr:to>
      <xdr:col>6</xdr:col>
      <xdr:colOff>1751965</xdr:colOff>
      <xdr:row>4</xdr:row>
      <xdr:rowOff>1021715</xdr:rowOff>
    </xdr:to>
    <xdr:sp>
      <xdr:nvSpPr>
        <xdr:cNvPr id="6" name="加号 1"/>
        <xdr:cNvSpPr>
          <a:spLocks noChangeArrowheads="1"/>
        </xdr:cNvSpPr>
      </xdr:nvSpPr>
      <xdr:spPr>
        <a:xfrm>
          <a:off x="26012775" y="7489825"/>
          <a:ext cx="1147445" cy="720090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>
    <xdr:from>
      <xdr:col>6</xdr:col>
      <xdr:colOff>104775</xdr:colOff>
      <xdr:row>5</xdr:row>
      <xdr:rowOff>301625</xdr:rowOff>
    </xdr:from>
    <xdr:to>
      <xdr:col>6</xdr:col>
      <xdr:colOff>1252220</xdr:colOff>
      <xdr:row>5</xdr:row>
      <xdr:rowOff>1021715</xdr:rowOff>
    </xdr:to>
    <xdr:sp>
      <xdr:nvSpPr>
        <xdr:cNvPr id="7" name="加号 1"/>
        <xdr:cNvSpPr>
          <a:spLocks noChangeArrowheads="1"/>
        </xdr:cNvSpPr>
      </xdr:nvSpPr>
      <xdr:spPr>
        <a:xfrm>
          <a:off x="25513030" y="8785225"/>
          <a:ext cx="1147445" cy="720090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>
    <xdr:from>
      <xdr:col>6</xdr:col>
      <xdr:colOff>1390650</xdr:colOff>
      <xdr:row>5</xdr:row>
      <xdr:rowOff>373380</xdr:rowOff>
    </xdr:from>
    <xdr:to>
      <xdr:col>6</xdr:col>
      <xdr:colOff>2719070</xdr:colOff>
      <xdr:row>5</xdr:row>
      <xdr:rowOff>913130</xdr:rowOff>
    </xdr:to>
    <xdr:sp>
      <xdr:nvSpPr>
        <xdr:cNvPr id="8" name="流程图: 决策 62"/>
        <xdr:cNvSpPr>
          <a:spLocks noChangeArrowheads="1"/>
        </xdr:cNvSpPr>
      </xdr:nvSpPr>
      <xdr:spPr>
        <a:xfrm>
          <a:off x="26798905" y="885698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699770</xdr:colOff>
      <xdr:row>6</xdr:row>
      <xdr:rowOff>349250</xdr:rowOff>
    </xdr:from>
    <xdr:to>
      <xdr:col>6</xdr:col>
      <xdr:colOff>2028190</xdr:colOff>
      <xdr:row>6</xdr:row>
      <xdr:rowOff>873125</xdr:rowOff>
    </xdr:to>
    <xdr:sp>
      <xdr:nvSpPr>
        <xdr:cNvPr id="9" name="流程图: 决策 62"/>
        <xdr:cNvSpPr>
          <a:spLocks noChangeArrowheads="1"/>
        </xdr:cNvSpPr>
      </xdr:nvSpPr>
      <xdr:spPr>
        <a:xfrm>
          <a:off x="26108025" y="10356850"/>
          <a:ext cx="1328420" cy="523875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628650</xdr:colOff>
      <xdr:row>7</xdr:row>
      <xdr:rowOff>349250</xdr:rowOff>
    </xdr:from>
    <xdr:to>
      <xdr:col>6</xdr:col>
      <xdr:colOff>1957070</xdr:colOff>
      <xdr:row>7</xdr:row>
      <xdr:rowOff>873125</xdr:rowOff>
    </xdr:to>
    <xdr:sp>
      <xdr:nvSpPr>
        <xdr:cNvPr id="10" name="流程图: 决策 62"/>
        <xdr:cNvSpPr>
          <a:spLocks noChangeArrowheads="1"/>
        </xdr:cNvSpPr>
      </xdr:nvSpPr>
      <xdr:spPr>
        <a:xfrm>
          <a:off x="26036905" y="12033250"/>
          <a:ext cx="1328420" cy="523875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581025</xdr:colOff>
      <xdr:row>8</xdr:row>
      <xdr:rowOff>278130</xdr:rowOff>
    </xdr:from>
    <xdr:to>
      <xdr:col>6</xdr:col>
      <xdr:colOff>1909445</xdr:colOff>
      <xdr:row>8</xdr:row>
      <xdr:rowOff>817880</xdr:rowOff>
    </xdr:to>
    <xdr:sp>
      <xdr:nvSpPr>
        <xdr:cNvPr id="11" name="流程图: 决策 62"/>
        <xdr:cNvSpPr>
          <a:spLocks noChangeArrowheads="1"/>
        </xdr:cNvSpPr>
      </xdr:nvSpPr>
      <xdr:spPr>
        <a:xfrm>
          <a:off x="25989280" y="1405763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628650</xdr:colOff>
      <xdr:row>9</xdr:row>
      <xdr:rowOff>349250</xdr:rowOff>
    </xdr:from>
    <xdr:to>
      <xdr:col>6</xdr:col>
      <xdr:colOff>1957070</xdr:colOff>
      <xdr:row>9</xdr:row>
      <xdr:rowOff>889000</xdr:rowOff>
    </xdr:to>
    <xdr:sp>
      <xdr:nvSpPr>
        <xdr:cNvPr id="12" name="流程图: 决策 62"/>
        <xdr:cNvSpPr>
          <a:spLocks noChangeArrowheads="1"/>
        </xdr:cNvSpPr>
      </xdr:nvSpPr>
      <xdr:spPr>
        <a:xfrm>
          <a:off x="26036905" y="1567815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819150</xdr:colOff>
      <xdr:row>10</xdr:row>
      <xdr:rowOff>396875</xdr:rowOff>
    </xdr:from>
    <xdr:to>
      <xdr:col>6</xdr:col>
      <xdr:colOff>2147570</xdr:colOff>
      <xdr:row>10</xdr:row>
      <xdr:rowOff>936625</xdr:rowOff>
    </xdr:to>
    <xdr:sp>
      <xdr:nvSpPr>
        <xdr:cNvPr id="13" name="流程图: 决策 62"/>
        <xdr:cNvSpPr>
          <a:spLocks noChangeArrowheads="1"/>
        </xdr:cNvSpPr>
      </xdr:nvSpPr>
      <xdr:spPr>
        <a:xfrm>
          <a:off x="26227405" y="17249775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747395</xdr:colOff>
      <xdr:row>11</xdr:row>
      <xdr:rowOff>349250</xdr:rowOff>
    </xdr:from>
    <xdr:to>
      <xdr:col>6</xdr:col>
      <xdr:colOff>2075815</xdr:colOff>
      <xdr:row>11</xdr:row>
      <xdr:rowOff>889000</xdr:rowOff>
    </xdr:to>
    <xdr:sp>
      <xdr:nvSpPr>
        <xdr:cNvPr id="14" name="流程图: 决策 62"/>
        <xdr:cNvSpPr>
          <a:spLocks noChangeArrowheads="1"/>
        </xdr:cNvSpPr>
      </xdr:nvSpPr>
      <xdr:spPr>
        <a:xfrm>
          <a:off x="26155650" y="1885315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819150</xdr:colOff>
      <xdr:row>12</xdr:row>
      <xdr:rowOff>325120</xdr:rowOff>
    </xdr:from>
    <xdr:to>
      <xdr:col>6</xdr:col>
      <xdr:colOff>2147570</xdr:colOff>
      <xdr:row>12</xdr:row>
      <xdr:rowOff>864870</xdr:rowOff>
    </xdr:to>
    <xdr:sp>
      <xdr:nvSpPr>
        <xdr:cNvPr id="15" name="流程图: 决策 62"/>
        <xdr:cNvSpPr>
          <a:spLocks noChangeArrowheads="1"/>
        </xdr:cNvSpPr>
      </xdr:nvSpPr>
      <xdr:spPr>
        <a:xfrm>
          <a:off x="26227405" y="2044192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795655</xdr:colOff>
      <xdr:row>13</xdr:row>
      <xdr:rowOff>492125</xdr:rowOff>
    </xdr:from>
    <xdr:to>
      <xdr:col>6</xdr:col>
      <xdr:colOff>2124075</xdr:colOff>
      <xdr:row>13</xdr:row>
      <xdr:rowOff>1031875</xdr:rowOff>
    </xdr:to>
    <xdr:sp>
      <xdr:nvSpPr>
        <xdr:cNvPr id="16" name="流程图: 决策 62"/>
        <xdr:cNvSpPr>
          <a:spLocks noChangeArrowheads="1"/>
        </xdr:cNvSpPr>
      </xdr:nvSpPr>
      <xdr:spPr>
        <a:xfrm>
          <a:off x="26203910" y="22704425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795655</xdr:colOff>
      <xdr:row>14</xdr:row>
      <xdr:rowOff>444500</xdr:rowOff>
    </xdr:from>
    <xdr:to>
      <xdr:col>6</xdr:col>
      <xdr:colOff>2124075</xdr:colOff>
      <xdr:row>14</xdr:row>
      <xdr:rowOff>984250</xdr:rowOff>
    </xdr:to>
    <xdr:sp>
      <xdr:nvSpPr>
        <xdr:cNvPr id="17" name="流程图: 决策 62"/>
        <xdr:cNvSpPr>
          <a:spLocks noChangeArrowheads="1"/>
        </xdr:cNvSpPr>
      </xdr:nvSpPr>
      <xdr:spPr>
        <a:xfrm>
          <a:off x="26203910" y="2379980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1318895</xdr:colOff>
      <xdr:row>15</xdr:row>
      <xdr:rowOff>372745</xdr:rowOff>
    </xdr:from>
    <xdr:to>
      <xdr:col>6</xdr:col>
      <xdr:colOff>2647315</xdr:colOff>
      <xdr:row>15</xdr:row>
      <xdr:rowOff>912495</xdr:rowOff>
    </xdr:to>
    <xdr:sp>
      <xdr:nvSpPr>
        <xdr:cNvPr id="18" name="流程图: 决策 62"/>
        <xdr:cNvSpPr>
          <a:spLocks noChangeArrowheads="1"/>
        </xdr:cNvSpPr>
      </xdr:nvSpPr>
      <xdr:spPr>
        <a:xfrm>
          <a:off x="26727150" y="24871045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0</xdr:colOff>
      <xdr:row>15</xdr:row>
      <xdr:rowOff>325755</xdr:rowOff>
    </xdr:from>
    <xdr:to>
      <xdr:col>6</xdr:col>
      <xdr:colOff>1147445</xdr:colOff>
      <xdr:row>15</xdr:row>
      <xdr:rowOff>1045845</xdr:rowOff>
    </xdr:to>
    <xdr:sp>
      <xdr:nvSpPr>
        <xdr:cNvPr id="19" name="加号 1"/>
        <xdr:cNvSpPr>
          <a:spLocks noChangeArrowheads="1"/>
        </xdr:cNvSpPr>
      </xdr:nvSpPr>
      <xdr:spPr>
        <a:xfrm>
          <a:off x="25408255" y="24824055"/>
          <a:ext cx="1147445" cy="720090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479425</xdr:colOff>
      <xdr:row>15</xdr:row>
      <xdr:rowOff>363855</xdr:rowOff>
    </xdr:from>
    <xdr:to>
      <xdr:col>14</xdr:col>
      <xdr:colOff>236220</xdr:colOff>
      <xdr:row>15</xdr:row>
      <xdr:rowOff>903605</xdr:rowOff>
    </xdr:to>
    <xdr:sp>
      <xdr:nvSpPr>
        <xdr:cNvPr id="20" name="流程图: 决策 62"/>
        <xdr:cNvSpPr>
          <a:spLocks noChangeArrowheads="1"/>
        </xdr:cNvSpPr>
      </xdr:nvSpPr>
      <xdr:spPr>
        <a:xfrm>
          <a:off x="47406560" y="24862155"/>
          <a:ext cx="216154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10</xdr:col>
      <xdr:colOff>771525</xdr:colOff>
      <xdr:row>15</xdr:row>
      <xdr:rowOff>238760</xdr:rowOff>
    </xdr:from>
    <xdr:to>
      <xdr:col>11</xdr:col>
      <xdr:colOff>347345</xdr:colOff>
      <xdr:row>15</xdr:row>
      <xdr:rowOff>958850</xdr:rowOff>
    </xdr:to>
    <xdr:sp>
      <xdr:nvSpPr>
        <xdr:cNvPr id="21" name="加号 1"/>
        <xdr:cNvSpPr>
          <a:spLocks noChangeArrowheads="1"/>
        </xdr:cNvSpPr>
      </xdr:nvSpPr>
      <xdr:spPr>
        <a:xfrm>
          <a:off x="42634535" y="24737060"/>
          <a:ext cx="671195" cy="720090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337820</xdr:colOff>
      <xdr:row>11</xdr:row>
      <xdr:rowOff>9525</xdr:rowOff>
    </xdr:to>
    <xdr:sp>
      <xdr:nvSpPr>
        <xdr:cNvPr id="22" name="TextBox 112"/>
        <xdr:cNvSpPr txBox="1">
          <a:spLocks noChangeArrowheads="1"/>
        </xdr:cNvSpPr>
      </xdr:nvSpPr>
      <xdr:spPr>
        <a:xfrm>
          <a:off x="40291385" y="18503900"/>
          <a:ext cx="33782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11</xdr:col>
      <xdr:colOff>581025</xdr:colOff>
      <xdr:row>11</xdr:row>
      <xdr:rowOff>0</xdr:rowOff>
    </xdr:from>
    <xdr:to>
      <xdr:col>11</xdr:col>
      <xdr:colOff>915035</xdr:colOff>
      <xdr:row>11</xdr:row>
      <xdr:rowOff>1905</xdr:rowOff>
    </xdr:to>
    <xdr:sp>
      <xdr:nvSpPr>
        <xdr:cNvPr id="23" name="TextBox 112"/>
        <xdr:cNvSpPr txBox="1">
          <a:spLocks noChangeArrowheads="1"/>
        </xdr:cNvSpPr>
      </xdr:nvSpPr>
      <xdr:spPr>
        <a:xfrm>
          <a:off x="43539410" y="18503900"/>
          <a:ext cx="334010" cy="1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10</xdr:col>
      <xdr:colOff>57150</xdr:colOff>
      <xdr:row>14</xdr:row>
      <xdr:rowOff>163195</xdr:rowOff>
    </xdr:from>
    <xdr:to>
      <xdr:col>12</xdr:col>
      <xdr:colOff>761365</xdr:colOff>
      <xdr:row>14</xdr:row>
      <xdr:rowOff>908050</xdr:rowOff>
    </xdr:to>
    <xdr:pic>
      <xdr:nvPicPr>
        <xdr:cNvPr id="24" name="图片 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920160" y="23518495"/>
          <a:ext cx="4625340" cy="744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81280</xdr:colOff>
      <xdr:row>16</xdr:row>
      <xdr:rowOff>206375</xdr:rowOff>
    </xdr:from>
    <xdr:to>
      <xdr:col>4</xdr:col>
      <xdr:colOff>2163445</xdr:colOff>
      <xdr:row>19</xdr:row>
      <xdr:rowOff>303530</xdr:rowOff>
    </xdr:to>
    <xdr:pic>
      <xdr:nvPicPr>
        <xdr:cNvPr id="25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84645" y="25847675"/>
          <a:ext cx="8696325" cy="39071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556895</xdr:colOff>
      <xdr:row>16</xdr:row>
      <xdr:rowOff>182245</xdr:rowOff>
    </xdr:from>
    <xdr:to>
      <xdr:col>7</xdr:col>
      <xdr:colOff>591820</xdr:colOff>
      <xdr:row>19</xdr:row>
      <xdr:rowOff>238760</xdr:rowOff>
    </xdr:to>
    <xdr:pic>
      <xdr:nvPicPr>
        <xdr:cNvPr id="26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227540" y="25823545"/>
          <a:ext cx="7328535" cy="3866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2399030</xdr:colOff>
      <xdr:row>16</xdr:row>
      <xdr:rowOff>619125</xdr:rowOff>
    </xdr:from>
    <xdr:to>
      <xdr:col>11</xdr:col>
      <xdr:colOff>2245360</xdr:colOff>
      <xdr:row>19</xdr:row>
      <xdr:rowOff>596265</xdr:rowOff>
    </xdr:to>
    <xdr:pic>
      <xdr:nvPicPr>
        <xdr:cNvPr id="27" name="图片 3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9007415" y="26260425"/>
          <a:ext cx="6196330" cy="3787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698500</xdr:colOff>
      <xdr:row>1</xdr:row>
      <xdr:rowOff>341630</xdr:rowOff>
    </xdr:from>
    <xdr:to>
      <xdr:col>2</xdr:col>
      <xdr:colOff>2256790</xdr:colOff>
      <xdr:row>1</xdr:row>
      <xdr:rowOff>1179830</xdr:rowOff>
    </xdr:to>
    <xdr:pic>
      <xdr:nvPicPr>
        <xdr:cNvPr id="28" name="图片 2" descr="53de7992f4dd23a0a934cbbe6400c88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301865" y="2627630"/>
          <a:ext cx="1558290" cy="838200"/>
        </a:xfrm>
        <a:prstGeom prst="rect">
          <a:avLst/>
        </a:prstGeom>
      </xdr:spPr>
    </xdr:pic>
    <xdr:clientData/>
  </xdr:twoCellAnchor>
  <xdr:twoCellAnchor editAs="oneCell">
    <xdr:from>
      <xdr:col>4</xdr:col>
      <xdr:colOff>1391285</xdr:colOff>
      <xdr:row>1</xdr:row>
      <xdr:rowOff>255270</xdr:rowOff>
    </xdr:from>
    <xdr:to>
      <xdr:col>4</xdr:col>
      <xdr:colOff>2986405</xdr:colOff>
      <xdr:row>1</xdr:row>
      <xdr:rowOff>1181735</xdr:rowOff>
    </xdr:to>
    <xdr:pic>
      <xdr:nvPicPr>
        <xdr:cNvPr id="29" name="图片 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608810" y="2541270"/>
          <a:ext cx="1595120" cy="926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438150</xdr:colOff>
      <xdr:row>1</xdr:row>
      <xdr:rowOff>94615</xdr:rowOff>
    </xdr:from>
    <xdr:to>
      <xdr:col>6</xdr:col>
      <xdr:colOff>2354580</xdr:colOff>
      <xdr:row>1</xdr:row>
      <xdr:rowOff>1217930</xdr:rowOff>
    </xdr:to>
    <xdr:pic>
      <xdr:nvPicPr>
        <xdr:cNvPr id="30" name="图片 1" descr="IMG_25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5846405" y="2380615"/>
          <a:ext cx="1916430" cy="11233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B1:R30"/>
  <sheetViews>
    <sheetView zoomScale="30" zoomScaleNormal="30" workbookViewId="0">
      <selection activeCell="B1" sqref="B1:O21"/>
    </sheetView>
  </sheetViews>
  <sheetFormatPr defaultColWidth="9" defaultRowHeight="16.5"/>
  <cols>
    <col min="1" max="1" width="24.1583333333333" style="3" customWidth="1"/>
    <col min="2" max="2" width="42.5083333333333" style="3" customWidth="1"/>
    <col min="3" max="3" width="37.625" style="3" customWidth="1"/>
    <col min="4" max="4" width="49.175" style="3" customWidth="1"/>
    <col min="5" max="5" width="110.933333333333" style="3" customWidth="1"/>
    <col min="6" max="7" width="37.625" style="3" customWidth="1"/>
    <col min="8" max="8" width="100.316666666667" style="3" customWidth="1"/>
    <col min="9" max="9" width="37.625" style="3" customWidth="1"/>
    <col min="10" max="10" width="20.625" style="3" customWidth="1"/>
    <col min="11" max="11" width="14.375" style="3" customWidth="1"/>
    <col min="12" max="12" width="20.625" style="3" customWidth="1"/>
    <col min="13" max="13" width="15" style="3" customWidth="1"/>
    <col min="14" max="14" width="31.5583333333333" style="3" customWidth="1"/>
    <col min="15" max="15" width="12.9166666666667" style="3" customWidth="1"/>
    <col min="16" max="16" width="52.1333333333333" style="3" customWidth="1"/>
    <col min="17" max="16384" width="9" style="3"/>
  </cols>
  <sheetData>
    <row r="1" ht="180" customHeight="1" spans="2:18">
      <c r="B1" s="40" t="str">
        <f>_xlfn.DISPIMG("ID_510460FF6461459BA1B50DFEA60C4338",1)</f>
        <v>=DISPIMG("ID_510460FF6461459BA1B50DFEA60C4338",1)</v>
      </c>
      <c r="C1" s="40" t="s">
        <v>0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="1" customFormat="1" ht="107" customHeight="1" spans="2:18">
      <c r="B2" s="41" t="s">
        <v>1</v>
      </c>
      <c r="C2" s="42"/>
      <c r="D2" s="42" t="s">
        <v>2</v>
      </c>
      <c r="E2" s="42"/>
      <c r="F2" s="42" t="s">
        <v>3</v>
      </c>
      <c r="G2" s="42"/>
      <c r="H2" s="42" t="s">
        <v>4</v>
      </c>
      <c r="I2" s="7" t="s">
        <v>5</v>
      </c>
      <c r="J2" s="42"/>
      <c r="K2" s="42" t="s">
        <v>6</v>
      </c>
      <c r="L2" s="42"/>
      <c r="M2" s="9">
        <v>46185</v>
      </c>
      <c r="N2" s="43"/>
      <c r="O2" s="43"/>
    </row>
    <row r="3" s="2" customFormat="1" ht="100" customHeight="1" spans="2:18">
      <c r="B3" s="44" t="s">
        <v>7</v>
      </c>
      <c r="C3" s="11" t="s">
        <v>8</v>
      </c>
      <c r="D3" s="11"/>
      <c r="E3" s="11"/>
      <c r="F3" s="42" t="s">
        <v>9</v>
      </c>
      <c r="G3" s="42"/>
      <c r="H3" s="45" t="s">
        <v>10</v>
      </c>
      <c r="I3" s="45"/>
      <c r="J3" s="42" t="s">
        <v>11</v>
      </c>
      <c r="K3" s="42"/>
      <c r="L3" s="11" t="s">
        <v>12</v>
      </c>
      <c r="M3" s="11"/>
      <c r="N3" s="11"/>
      <c r="O3" s="11"/>
    </row>
    <row r="4" s="2" customFormat="1" ht="90" customHeight="1" spans="2:18">
      <c r="B4" s="44" t="s">
        <v>13</v>
      </c>
      <c r="C4" s="44" t="s">
        <v>14</v>
      </c>
      <c r="D4" s="44" t="s">
        <v>15</v>
      </c>
      <c r="E4" s="44"/>
      <c r="F4" s="44" t="s">
        <v>16</v>
      </c>
      <c r="G4" s="44" t="s">
        <v>17</v>
      </c>
      <c r="H4" s="44" t="s">
        <v>18</v>
      </c>
      <c r="I4" s="44" t="s">
        <v>19</v>
      </c>
      <c r="J4" s="44" t="s">
        <v>20</v>
      </c>
      <c r="K4" s="44"/>
      <c r="L4" s="44"/>
      <c r="M4" s="44"/>
      <c r="N4" s="44"/>
      <c r="O4" s="44"/>
    </row>
    <row r="5" ht="90" customHeight="1" spans="2:18">
      <c r="B5" s="46" t="s">
        <v>21</v>
      </c>
      <c r="C5" s="15">
        <v>1</v>
      </c>
      <c r="D5" s="15" t="s">
        <v>22</v>
      </c>
      <c r="E5" s="47" t="s">
        <v>23</v>
      </c>
      <c r="F5" s="15"/>
      <c r="G5" s="18"/>
      <c r="H5" s="48" t="s">
        <v>24</v>
      </c>
      <c r="I5" s="18" t="s">
        <v>25</v>
      </c>
      <c r="J5" s="18" t="s">
        <v>26</v>
      </c>
      <c r="K5" s="18"/>
      <c r="L5" s="18"/>
      <c r="M5" s="18"/>
      <c r="N5" s="18"/>
      <c r="O5" s="18"/>
    </row>
    <row r="6" ht="90" customHeight="1" spans="2:18">
      <c r="B6" s="49"/>
      <c r="C6" s="15">
        <v>2</v>
      </c>
      <c r="D6" s="15" t="s">
        <v>27</v>
      </c>
      <c r="E6" s="47" t="s">
        <v>28</v>
      </c>
      <c r="F6" s="15" t="s">
        <v>29</v>
      </c>
      <c r="G6" s="18"/>
      <c r="H6" s="48" t="s">
        <v>30</v>
      </c>
      <c r="I6" s="18" t="s">
        <v>31</v>
      </c>
      <c r="J6" s="13" t="s">
        <v>32</v>
      </c>
      <c r="K6" s="13"/>
      <c r="L6" s="13"/>
      <c r="M6" s="13"/>
      <c r="N6" s="13"/>
      <c r="O6" s="13"/>
    </row>
    <row r="7" ht="90" customHeight="1" spans="2:18">
      <c r="B7" s="49"/>
      <c r="C7" s="15">
        <v>3</v>
      </c>
      <c r="D7" s="15" t="s">
        <v>33</v>
      </c>
      <c r="E7" s="47" t="s">
        <v>34</v>
      </c>
      <c r="F7" s="15" t="s">
        <v>35</v>
      </c>
      <c r="G7" s="18"/>
      <c r="H7" s="48" t="s">
        <v>36</v>
      </c>
      <c r="I7" s="18" t="s">
        <v>31</v>
      </c>
      <c r="J7" s="12" t="s">
        <v>37</v>
      </c>
      <c r="K7" s="12"/>
      <c r="L7" s="12"/>
      <c r="M7" s="12"/>
      <c r="N7" s="12"/>
      <c r="O7" s="12"/>
    </row>
    <row r="8" ht="90" customHeight="1" spans="2:18">
      <c r="B8" s="50"/>
      <c r="C8" s="15">
        <v>4</v>
      </c>
      <c r="D8" s="15" t="s">
        <v>38</v>
      </c>
      <c r="E8" s="47" t="s">
        <v>39</v>
      </c>
      <c r="F8" s="15" t="s">
        <v>40</v>
      </c>
      <c r="G8" s="18"/>
      <c r="H8" s="48" t="s">
        <v>41</v>
      </c>
      <c r="I8" s="18" t="s">
        <v>42</v>
      </c>
      <c r="J8" s="51" t="s">
        <v>43</v>
      </c>
      <c r="K8" s="51"/>
      <c r="L8" s="51"/>
      <c r="M8" s="51"/>
      <c r="N8" s="51"/>
      <c r="O8" s="51"/>
    </row>
    <row r="9" ht="90" customHeight="1" spans="2:18">
      <c r="B9" s="52" t="s">
        <v>44</v>
      </c>
      <c r="C9" s="15">
        <v>1</v>
      </c>
      <c r="D9" s="15" t="s">
        <v>45</v>
      </c>
      <c r="E9" s="47" t="s">
        <v>46</v>
      </c>
      <c r="F9" s="15" t="s">
        <v>47</v>
      </c>
      <c r="G9" s="18"/>
      <c r="H9" s="48" t="s">
        <v>48</v>
      </c>
      <c r="I9" s="18" t="s">
        <v>49</v>
      </c>
      <c r="J9" s="18" t="s">
        <v>50</v>
      </c>
      <c r="K9" s="18"/>
      <c r="L9" s="18"/>
      <c r="M9" s="18"/>
      <c r="N9" s="18"/>
      <c r="O9" s="18"/>
    </row>
    <row r="10" ht="90" customHeight="1" spans="2:18">
      <c r="B10" s="52"/>
      <c r="C10" s="15">
        <v>2</v>
      </c>
      <c r="D10" s="15" t="s">
        <v>51</v>
      </c>
      <c r="E10" s="47" t="s">
        <v>52</v>
      </c>
      <c r="F10" s="15" t="s">
        <v>47</v>
      </c>
      <c r="G10" s="18"/>
      <c r="H10" s="48"/>
      <c r="I10" s="18" t="s">
        <v>49</v>
      </c>
      <c r="J10" s="51" t="s">
        <v>53</v>
      </c>
      <c r="K10" s="51"/>
      <c r="L10" s="51"/>
      <c r="M10" s="51"/>
      <c r="N10" s="51"/>
      <c r="O10" s="51"/>
    </row>
    <row r="11" ht="90" customHeight="1" spans="2:18">
      <c r="B11" s="52"/>
      <c r="C11" s="15">
        <v>3</v>
      </c>
      <c r="D11" s="15" t="s">
        <v>54</v>
      </c>
      <c r="E11" s="47" t="s">
        <v>55</v>
      </c>
      <c r="F11" s="15" t="s">
        <v>47</v>
      </c>
      <c r="G11" s="18"/>
      <c r="H11" s="48"/>
      <c r="I11" s="53" t="s">
        <v>56</v>
      </c>
      <c r="J11" s="18" t="s">
        <v>57</v>
      </c>
      <c r="K11" s="18"/>
      <c r="L11" s="18"/>
      <c r="M11" s="18"/>
      <c r="N11" s="18"/>
      <c r="O11" s="18"/>
      <c r="Q11" s="23"/>
      <c r="R11" s="23"/>
    </row>
    <row r="12" ht="90" customHeight="1" spans="2:18">
      <c r="B12" s="52"/>
      <c r="C12" s="15">
        <v>4</v>
      </c>
      <c r="D12" s="15" t="s">
        <v>58</v>
      </c>
      <c r="E12" s="47" t="s">
        <v>59</v>
      </c>
      <c r="F12" s="15" t="s">
        <v>47</v>
      </c>
      <c r="G12" s="18"/>
      <c r="H12" s="48" t="s">
        <v>60</v>
      </c>
      <c r="I12" s="53" t="s">
        <v>61</v>
      </c>
      <c r="J12" s="51" t="s">
        <v>62</v>
      </c>
      <c r="K12" s="51"/>
      <c r="L12" s="51"/>
      <c r="M12" s="51"/>
      <c r="N12" s="51"/>
      <c r="O12" s="51"/>
      <c r="Q12" s="23"/>
      <c r="R12" s="23"/>
    </row>
    <row r="13" ht="90" customHeight="1" spans="2:18">
      <c r="B13" s="52"/>
      <c r="C13" s="24">
        <v>5</v>
      </c>
      <c r="D13" s="24" t="s">
        <v>63</v>
      </c>
      <c r="E13" s="54" t="s">
        <v>64</v>
      </c>
      <c r="F13" s="18" t="s">
        <v>65</v>
      </c>
      <c r="G13" s="18"/>
      <c r="H13" s="48"/>
      <c r="I13" s="53" t="s">
        <v>25</v>
      </c>
      <c r="J13" s="18" t="s">
        <v>66</v>
      </c>
      <c r="K13" s="18"/>
      <c r="L13" s="18"/>
      <c r="M13" s="18"/>
      <c r="N13" s="18"/>
      <c r="O13" s="18"/>
      <c r="Q13" s="23"/>
      <c r="R13" s="23"/>
    </row>
    <row r="14" ht="90" customHeight="1" spans="2:18">
      <c r="B14" s="55" t="s">
        <v>67</v>
      </c>
      <c r="C14" s="15">
        <v>1</v>
      </c>
      <c r="D14" s="15" t="s">
        <v>68</v>
      </c>
      <c r="E14" s="47" t="s">
        <v>69</v>
      </c>
      <c r="F14" s="24"/>
      <c r="G14" s="18"/>
      <c r="H14" s="54" t="s">
        <v>70</v>
      </c>
      <c r="I14" s="53" t="s">
        <v>25</v>
      </c>
      <c r="J14" s="51" t="s">
        <v>71</v>
      </c>
      <c r="K14" s="51"/>
      <c r="L14" s="51"/>
      <c r="M14" s="51"/>
      <c r="N14" s="51"/>
      <c r="O14" s="51"/>
    </row>
    <row r="15" ht="90" customHeight="1" spans="2:18">
      <c r="B15" s="55"/>
      <c r="C15" s="15">
        <v>2</v>
      </c>
      <c r="D15" s="15" t="s">
        <v>72</v>
      </c>
      <c r="E15" s="47" t="s">
        <v>73</v>
      </c>
      <c r="F15" s="24"/>
      <c r="G15" s="18"/>
      <c r="H15" s="54"/>
      <c r="I15" s="53" t="s">
        <v>25</v>
      </c>
      <c r="J15" s="18"/>
      <c r="K15" s="18"/>
      <c r="L15" s="18"/>
      <c r="M15" s="18"/>
      <c r="N15" s="18"/>
      <c r="O15" s="18"/>
    </row>
    <row r="16" ht="90" customHeight="1" spans="2:18">
      <c r="B16" s="55" t="s">
        <v>74</v>
      </c>
      <c r="C16" s="15">
        <v>1</v>
      </c>
      <c r="D16" s="15" t="s">
        <v>75</v>
      </c>
      <c r="E16" s="47" t="s">
        <v>76</v>
      </c>
      <c r="F16" s="24"/>
      <c r="G16" s="18"/>
      <c r="H16" s="54"/>
      <c r="I16" s="53" t="s">
        <v>25</v>
      </c>
      <c r="J16" s="56" t="s">
        <v>77</v>
      </c>
      <c r="K16" s="56"/>
      <c r="L16" s="56"/>
      <c r="M16" s="56" t="s">
        <v>78</v>
      </c>
      <c r="N16" s="56"/>
      <c r="O16" s="56"/>
    </row>
    <row r="17" ht="100" customHeight="1" spans="2:15">
      <c r="B17" s="28" t="s">
        <v>79</v>
      </c>
      <c r="C17" s="29" t="s">
        <v>80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1"/>
    </row>
    <row r="18" ht="100" customHeight="1" spans="2:15">
      <c r="B18" s="28"/>
      <c r="C18" s="32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4"/>
    </row>
    <row r="19" ht="100" customHeight="1" spans="2:15">
      <c r="B19" s="28"/>
      <c r="C19" s="32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4"/>
    </row>
    <row r="20" ht="100" customHeight="1" spans="2:15">
      <c r="B20" s="28"/>
      <c r="C20" s="32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4"/>
    </row>
    <row r="21" ht="100" customHeight="1" spans="2:15">
      <c r="B21" s="35"/>
      <c r="C21" s="36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8"/>
    </row>
    <row r="22" ht="24.75" spans="2:1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</row>
    <row r="30" ht="15" customHeight="1"/>
  </sheetData>
  <mergeCells count="29">
    <mergeCell ref="C1:O1"/>
    <mergeCell ref="I2:J2"/>
    <mergeCell ref="K2:L2"/>
    <mergeCell ref="M2:O2"/>
    <mergeCell ref="C3:E3"/>
    <mergeCell ref="F3:G3"/>
    <mergeCell ref="H3:I3"/>
    <mergeCell ref="J3:K3"/>
    <mergeCell ref="L3:O3"/>
    <mergeCell ref="D4:E4"/>
    <mergeCell ref="J4:O4"/>
    <mergeCell ref="J5:O5"/>
    <mergeCell ref="J6:O6"/>
    <mergeCell ref="J7:O7"/>
    <mergeCell ref="J8:O8"/>
    <mergeCell ref="J9:O9"/>
    <mergeCell ref="J10:O10"/>
    <mergeCell ref="J11:O11"/>
    <mergeCell ref="J12:O12"/>
    <mergeCell ref="J13:O13"/>
    <mergeCell ref="J14:O14"/>
    <mergeCell ref="J15:O15"/>
    <mergeCell ref="K16:L16"/>
    <mergeCell ref="N16:O16"/>
    <mergeCell ref="B5:B8"/>
    <mergeCell ref="B9:B13"/>
    <mergeCell ref="B14:B15"/>
    <mergeCell ref="B17:B21"/>
    <mergeCell ref="C17:O21"/>
  </mergeCells>
  <printOptions horizontalCentered="1" verticalCentered="1"/>
  <pageMargins left="0.314583333333333" right="0.393055555555556" top="0.196527777777778" bottom="0" header="0" footer="0"/>
  <pageSetup paperSize="8" scale="36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R30"/>
  <sheetViews>
    <sheetView tabSelected="1" zoomScale="30" zoomScaleNormal="30" workbookViewId="0">
      <selection activeCell="B1" sqref="B1:O21"/>
    </sheetView>
  </sheetViews>
  <sheetFormatPr defaultColWidth="9" defaultRowHeight="16.5"/>
  <cols>
    <col min="1" max="1" width="24.1583333333333" style="3" customWidth="1"/>
    <col min="2" max="2" width="62.5" style="3" customWidth="1"/>
    <col min="3" max="3" width="37.625" style="3" customWidth="1"/>
    <col min="4" max="4" width="49.175" style="3" customWidth="1"/>
    <col min="5" max="5" width="110.933333333333" style="3" customWidth="1"/>
    <col min="6" max="6" width="49.05" style="3" customWidth="1"/>
    <col min="7" max="7" width="46.6666666666667" style="3" customWidth="1"/>
    <col min="8" max="8" width="100.316666666667" style="3" customWidth="1"/>
    <col min="9" max="9" width="48.3333333333333" style="3" customWidth="1"/>
    <col min="10" max="10" width="20.625" style="3" customWidth="1"/>
    <col min="11" max="11" width="14.375" style="3" customWidth="1"/>
    <col min="12" max="12" width="37.0833333333333" style="3" customWidth="1"/>
    <col min="13" max="13" width="15" style="3" customWidth="1"/>
    <col min="14" max="14" width="31.5583333333333" style="3" customWidth="1"/>
    <col min="15" max="15" width="12.9166666666667" style="3" customWidth="1"/>
    <col min="16" max="16" width="52.1333333333333" style="3" customWidth="1"/>
    <col min="17" max="16384" width="9" style="3"/>
  </cols>
  <sheetData>
    <row r="1" ht="180" customHeight="1" spans="2:18">
      <c r="B1" s="4" t="str">
        <f>_xlfn.DISPIMG("ID_510460FF6461459BA1B50DFEA60C4338",1)</f>
        <v>=DISPIMG("ID_510460FF6461459BA1B50DFEA60C4338",1)</v>
      </c>
      <c r="C1" s="5" t="s">
        <v>81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="1" customFormat="1" ht="107" customHeight="1" spans="2:18">
      <c r="B2" s="6" t="s">
        <v>82</v>
      </c>
      <c r="C2" s="7"/>
      <c r="D2" s="7" t="s">
        <v>83</v>
      </c>
      <c r="E2" s="7"/>
      <c r="F2" s="7" t="s">
        <v>84</v>
      </c>
      <c r="G2" s="7"/>
      <c r="H2" s="7" t="s">
        <v>85</v>
      </c>
      <c r="I2" s="7" t="s">
        <v>5</v>
      </c>
      <c r="J2" s="7"/>
      <c r="K2" s="8" t="s">
        <v>86</v>
      </c>
      <c r="L2" s="8"/>
      <c r="M2" s="9">
        <v>46185</v>
      </c>
      <c r="N2" s="9"/>
      <c r="O2" s="9"/>
    </row>
    <row r="3" s="2" customFormat="1" ht="167" customHeight="1" spans="2:18">
      <c r="B3" s="10" t="s">
        <v>87</v>
      </c>
      <c r="C3" s="11" t="s">
        <v>88</v>
      </c>
      <c r="D3" s="11"/>
      <c r="E3" s="11"/>
      <c r="F3" s="7" t="s">
        <v>89</v>
      </c>
      <c r="G3" s="7"/>
      <c r="H3" s="11" t="s">
        <v>90</v>
      </c>
      <c r="I3" s="11"/>
      <c r="J3" s="8" t="s">
        <v>91</v>
      </c>
      <c r="K3" s="8"/>
      <c r="L3" s="12" t="s">
        <v>92</v>
      </c>
      <c r="M3" s="12"/>
      <c r="N3" s="12"/>
      <c r="O3" s="12"/>
    </row>
    <row r="4" s="2" customFormat="1" ht="112" customHeight="1" spans="2:18">
      <c r="B4" s="13" t="s">
        <v>93</v>
      </c>
      <c r="C4" s="13" t="s">
        <v>94</v>
      </c>
      <c r="D4" s="13" t="s">
        <v>95</v>
      </c>
      <c r="E4" s="13"/>
      <c r="F4" s="13" t="s">
        <v>96</v>
      </c>
      <c r="G4" s="13" t="s">
        <v>97</v>
      </c>
      <c r="H4" s="13" t="s">
        <v>98</v>
      </c>
      <c r="I4" s="13" t="s">
        <v>99</v>
      </c>
      <c r="J4" s="13" t="s">
        <v>100</v>
      </c>
      <c r="K4" s="13"/>
      <c r="L4" s="13"/>
      <c r="M4" s="13"/>
      <c r="N4" s="13"/>
      <c r="O4" s="13"/>
    </row>
    <row r="5" ht="102" customHeight="1" spans="2:18">
      <c r="B5" s="14" t="s">
        <v>101</v>
      </c>
      <c r="C5" s="15">
        <v>1</v>
      </c>
      <c r="D5" s="16" t="s">
        <v>102</v>
      </c>
      <c r="E5" s="17" t="s">
        <v>103</v>
      </c>
      <c r="F5" s="15"/>
      <c r="G5" s="18"/>
      <c r="H5" s="19" t="s">
        <v>104</v>
      </c>
      <c r="I5" s="18" t="s">
        <v>105</v>
      </c>
      <c r="J5" s="18" t="s">
        <v>106</v>
      </c>
      <c r="K5" s="18"/>
      <c r="L5" s="18"/>
      <c r="M5" s="18"/>
      <c r="N5" s="18"/>
      <c r="O5" s="18"/>
    </row>
    <row r="6" ht="120" customHeight="1" spans="2:18">
      <c r="B6" s="20"/>
      <c r="C6" s="15">
        <v>2</v>
      </c>
      <c r="D6" s="16" t="s">
        <v>107</v>
      </c>
      <c r="E6" s="17" t="s">
        <v>108</v>
      </c>
      <c r="F6" s="15" t="s">
        <v>109</v>
      </c>
      <c r="G6" s="18"/>
      <c r="H6" s="19" t="s">
        <v>110</v>
      </c>
      <c r="I6" s="18" t="s">
        <v>111</v>
      </c>
      <c r="J6" s="13" t="s">
        <v>112</v>
      </c>
      <c r="K6" s="13"/>
      <c r="L6" s="13"/>
      <c r="M6" s="13"/>
      <c r="N6" s="13"/>
      <c r="O6" s="13"/>
    </row>
    <row r="7" ht="132" customHeight="1" spans="2:18">
      <c r="B7" s="20"/>
      <c r="C7" s="15">
        <v>3</v>
      </c>
      <c r="D7" s="16" t="s">
        <v>113</v>
      </c>
      <c r="E7" s="17" t="s">
        <v>114</v>
      </c>
      <c r="F7" s="15" t="s">
        <v>115</v>
      </c>
      <c r="G7" s="18"/>
      <c r="H7" s="19" t="s">
        <v>116</v>
      </c>
      <c r="I7" s="18" t="s">
        <v>111</v>
      </c>
      <c r="J7" s="12" t="s">
        <v>117</v>
      </c>
      <c r="K7" s="12"/>
      <c r="L7" s="12"/>
      <c r="M7" s="12"/>
      <c r="N7" s="12"/>
      <c r="O7" s="12"/>
    </row>
    <row r="8" ht="165" customHeight="1" spans="2:18">
      <c r="B8" s="21"/>
      <c r="C8" s="15">
        <v>4</v>
      </c>
      <c r="D8" s="16" t="s">
        <v>118</v>
      </c>
      <c r="E8" s="17" t="s">
        <v>119</v>
      </c>
      <c r="F8" s="15" t="s">
        <v>120</v>
      </c>
      <c r="G8" s="18"/>
      <c r="H8" s="19" t="s">
        <v>121</v>
      </c>
      <c r="I8" s="18" t="s">
        <v>122</v>
      </c>
      <c r="J8" s="13" t="s">
        <v>123</v>
      </c>
      <c r="K8" s="13"/>
      <c r="L8" s="13"/>
      <c r="M8" s="13"/>
      <c r="N8" s="13"/>
      <c r="O8" s="13"/>
    </row>
    <row r="9" ht="122" customHeight="1" spans="2:18">
      <c r="B9" s="22" t="s">
        <v>124</v>
      </c>
      <c r="C9" s="15">
        <v>1</v>
      </c>
      <c r="D9" s="16" t="s">
        <v>125</v>
      </c>
      <c r="E9" s="17" t="s">
        <v>126</v>
      </c>
      <c r="F9" s="15" t="s">
        <v>127</v>
      </c>
      <c r="G9" s="18"/>
      <c r="H9" s="19" t="s">
        <v>128</v>
      </c>
      <c r="I9" s="18" t="s">
        <v>129</v>
      </c>
      <c r="J9" s="18" t="s">
        <v>130</v>
      </c>
      <c r="K9" s="18"/>
      <c r="L9" s="18"/>
      <c r="M9" s="18"/>
      <c r="N9" s="18"/>
      <c r="O9" s="18"/>
    </row>
    <row r="10" ht="120" customHeight="1" spans="2:18">
      <c r="B10" s="22"/>
      <c r="C10" s="15">
        <v>2</v>
      </c>
      <c r="D10" s="16" t="s">
        <v>131</v>
      </c>
      <c r="E10" s="17" t="s">
        <v>132</v>
      </c>
      <c r="F10" s="15" t="s">
        <v>127</v>
      </c>
      <c r="G10" s="18"/>
      <c r="H10" s="19"/>
      <c r="I10" s="18" t="s">
        <v>129</v>
      </c>
      <c r="J10" s="13" t="s">
        <v>133</v>
      </c>
      <c r="K10" s="13"/>
      <c r="L10" s="13"/>
      <c r="M10" s="13"/>
      <c r="N10" s="13"/>
      <c r="O10" s="13"/>
    </row>
    <row r="11" ht="130" customHeight="1" spans="2:18">
      <c r="B11" s="22"/>
      <c r="C11" s="15">
        <v>3</v>
      </c>
      <c r="D11" s="16" t="s">
        <v>134</v>
      </c>
      <c r="E11" s="17" t="s">
        <v>135</v>
      </c>
      <c r="F11" s="15" t="s">
        <v>127</v>
      </c>
      <c r="G11" s="18"/>
      <c r="H11" s="19"/>
      <c r="I11" s="18" t="s">
        <v>136</v>
      </c>
      <c r="J11" s="18" t="s">
        <v>137</v>
      </c>
      <c r="K11" s="18"/>
      <c r="L11" s="18"/>
      <c r="M11" s="18"/>
      <c r="N11" s="18"/>
      <c r="O11" s="18"/>
      <c r="Q11" s="23"/>
      <c r="R11" s="23"/>
    </row>
    <row r="12" ht="127" customHeight="1" spans="2:18">
      <c r="B12" s="22"/>
      <c r="C12" s="15">
        <v>4</v>
      </c>
      <c r="D12" s="16" t="s">
        <v>138</v>
      </c>
      <c r="E12" s="17" t="s">
        <v>139</v>
      </c>
      <c r="F12" s="15" t="s">
        <v>127</v>
      </c>
      <c r="G12" s="18"/>
      <c r="H12" s="19" t="s">
        <v>140</v>
      </c>
      <c r="I12" s="18" t="s">
        <v>141</v>
      </c>
      <c r="J12" s="13" t="s">
        <v>97</v>
      </c>
      <c r="K12" s="13"/>
      <c r="L12" s="13"/>
      <c r="M12" s="13"/>
      <c r="N12" s="13"/>
      <c r="O12" s="13"/>
      <c r="Q12" s="23"/>
      <c r="R12" s="23"/>
    </row>
    <row r="13" ht="165" customHeight="1" spans="2:18">
      <c r="B13" s="22"/>
      <c r="C13" s="24">
        <v>5</v>
      </c>
      <c r="D13" s="25" t="s">
        <v>142</v>
      </c>
      <c r="E13" s="26" t="s">
        <v>143</v>
      </c>
      <c r="F13" s="18" t="s">
        <v>144</v>
      </c>
      <c r="G13" s="18"/>
      <c r="H13" s="19"/>
      <c r="I13" s="18" t="s">
        <v>105</v>
      </c>
      <c r="J13" s="18" t="s">
        <v>145</v>
      </c>
      <c r="K13" s="18"/>
      <c r="L13" s="18"/>
      <c r="M13" s="18"/>
      <c r="N13" s="18"/>
      <c r="O13" s="18"/>
      <c r="Q13" s="23"/>
      <c r="R13" s="23"/>
    </row>
    <row r="14" ht="90" customHeight="1" spans="2:18">
      <c r="B14" s="27" t="s">
        <v>146</v>
      </c>
      <c r="C14" s="15">
        <v>1</v>
      </c>
      <c r="D14" s="16" t="s">
        <v>147</v>
      </c>
      <c r="E14" s="17" t="s">
        <v>148</v>
      </c>
      <c r="F14" s="24"/>
      <c r="G14" s="18"/>
      <c r="H14" s="26" t="s">
        <v>149</v>
      </c>
      <c r="I14" s="18" t="s">
        <v>105</v>
      </c>
      <c r="J14" s="13" t="s">
        <v>150</v>
      </c>
      <c r="K14" s="13"/>
      <c r="L14" s="13"/>
      <c r="M14" s="13"/>
      <c r="N14" s="13"/>
      <c r="O14" s="13"/>
    </row>
    <row r="15" ht="90" customHeight="1" spans="2:18">
      <c r="B15" s="27"/>
      <c r="C15" s="15">
        <v>2</v>
      </c>
      <c r="D15" s="16" t="s">
        <v>151</v>
      </c>
      <c r="E15" s="17" t="s">
        <v>152</v>
      </c>
      <c r="F15" s="24"/>
      <c r="G15" s="18"/>
      <c r="H15" s="26"/>
      <c r="I15" s="18" t="s">
        <v>105</v>
      </c>
      <c r="J15" s="18"/>
      <c r="K15" s="18"/>
      <c r="L15" s="18"/>
      <c r="M15" s="18"/>
      <c r="N15" s="18"/>
      <c r="O15" s="18"/>
    </row>
    <row r="16" ht="90" customHeight="1" spans="2:18">
      <c r="B16" s="27" t="s">
        <v>153</v>
      </c>
      <c r="C16" s="15">
        <v>1</v>
      </c>
      <c r="D16" s="16" t="s">
        <v>154</v>
      </c>
      <c r="E16" s="17" t="s">
        <v>155</v>
      </c>
      <c r="F16" s="24"/>
      <c r="G16" s="18"/>
      <c r="H16" s="26"/>
      <c r="I16" s="18" t="s">
        <v>105</v>
      </c>
      <c r="J16" s="8" t="s">
        <v>156</v>
      </c>
      <c r="K16" s="8"/>
      <c r="L16" s="8"/>
      <c r="M16" s="8" t="s">
        <v>157</v>
      </c>
      <c r="N16" s="8"/>
      <c r="O16" s="8"/>
    </row>
    <row r="17" ht="100" customHeight="1" spans="2:15">
      <c r="B17" s="28" t="s">
        <v>153</v>
      </c>
      <c r="C17" s="29" t="s">
        <v>158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1"/>
    </row>
    <row r="18" ht="100" customHeight="1" spans="2:15">
      <c r="B18" s="28"/>
      <c r="C18" s="32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4"/>
    </row>
    <row r="19" ht="100" customHeight="1" spans="2:15">
      <c r="B19" s="28"/>
      <c r="C19" s="32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4"/>
    </row>
    <row r="20" ht="100" customHeight="1" spans="2:15">
      <c r="B20" s="28"/>
      <c r="C20" s="32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4"/>
    </row>
    <row r="21" ht="100" customHeight="1" spans="2:15">
      <c r="B21" s="35"/>
      <c r="C21" s="36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8"/>
    </row>
    <row r="22" ht="24.75" spans="2:1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</row>
    <row r="30" ht="15" customHeight="1"/>
  </sheetData>
  <mergeCells count="29">
    <mergeCell ref="C1:O1"/>
    <mergeCell ref="I2:J2"/>
    <mergeCell ref="K2:L2"/>
    <mergeCell ref="M2:O2"/>
    <mergeCell ref="C3:E3"/>
    <mergeCell ref="F3:G3"/>
    <mergeCell ref="H3:I3"/>
    <mergeCell ref="J3:K3"/>
    <mergeCell ref="L3:O3"/>
    <mergeCell ref="D4:E4"/>
    <mergeCell ref="J4:O4"/>
    <mergeCell ref="J5:O5"/>
    <mergeCell ref="J6:O6"/>
    <mergeCell ref="J7:O7"/>
    <mergeCell ref="J8:O8"/>
    <mergeCell ref="J9:O9"/>
    <mergeCell ref="J10:O10"/>
    <mergeCell ref="J11:O11"/>
    <mergeCell ref="J12:O12"/>
    <mergeCell ref="J13:O13"/>
    <mergeCell ref="J14:O14"/>
    <mergeCell ref="J15:O15"/>
    <mergeCell ref="K16:L16"/>
    <mergeCell ref="N16:O16"/>
    <mergeCell ref="B5:B8"/>
    <mergeCell ref="B9:B13"/>
    <mergeCell ref="B14:B15"/>
    <mergeCell ref="B17:B21"/>
    <mergeCell ref="C17:O21"/>
  </mergeCells>
  <printOptions horizontalCentered="1" verticalCentered="1"/>
  <pageMargins left="0.314583333333333" right="0.393055555555556" top="0.196527777777778" bottom="0" header="0" footer="0"/>
  <pageSetup paperSize="8" scale="32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光电直读分析标准作业</vt:lpstr>
      <vt:lpstr>光电直读分析标准作业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鑫垚</cp:lastModifiedBy>
  <dcterms:created xsi:type="dcterms:W3CDTF">2010-01-05T19:02:00Z</dcterms:created>
  <cp:lastPrinted>2023-10-29T09:36:00Z</cp:lastPrinted>
  <dcterms:modified xsi:type="dcterms:W3CDTF">2026-07-29T02:17:09Z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1BA8C396D29C40A99803B088739EF93A_13</vt:lpwstr>
  </property>
  <property fmtid="{D5CDD505-2E9C-101B-9397-08002B2CF9AE}" pid="4" name="CalculationRule">
    <vt:i4>0</vt:i4>
  </property>
</Properties>
</file>